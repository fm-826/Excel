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D826E\Documents\"/>
    </mc:Choice>
  </mc:AlternateContent>
  <xr:revisionPtr revIDLastSave="0" documentId="13_ncr:1_{CE7C37F2-FBDE-42C6-AA4A-10DA9AB94E3C}" xr6:coauthVersionLast="47" xr6:coauthVersionMax="47" xr10:uidLastSave="{00000000-0000-0000-0000-000000000000}"/>
  <bookViews>
    <workbookView xWindow="-96" yWindow="-96" windowWidth="23232" windowHeight="13992" activeTab="1" xr2:uid="{00000000-000D-0000-FFFF-FFFF00000000}"/>
  </bookViews>
  <sheets>
    <sheet name="Admin" sheetId="8" r:id="rId1"/>
    <sheet name="POS" sheetId="1" r:id="rId2"/>
    <sheet name="Orders" sheetId="2" r:id="rId3"/>
    <sheet name="OrderItems" sheetId="3" r:id="rId4"/>
    <sheet name="Customers" sheetId="6" r:id="rId5"/>
    <sheet name="Vendors" sheetId="10" r:id="rId6"/>
    <sheet name="Products" sheetId="7" r:id="rId7"/>
    <sheet name="Users" sheetId="9" r:id="rId8"/>
  </sheets>
  <definedNames>
    <definedName name="_xlnm._FilterDatabase" localSheetId="4" hidden="1">Customers!$A$2:$B$6</definedName>
    <definedName name="_xlnm._FilterDatabase" localSheetId="3" hidden="1">OrderItems!$A$2:$J$52</definedName>
    <definedName name="_xlnm._FilterDatabase" localSheetId="2" hidden="1">Orders!$A$2:$G$20</definedName>
    <definedName name="_xlnm._FilterDatabase" localSheetId="6" hidden="1">Products!$A$2:$F$626</definedName>
    <definedName name="_xlnm._FilterDatabase" localSheetId="5" hidden="1">Vendors!$A$2:$B$6</definedName>
    <definedName name="Categories">Admin!$D$4:$I$4</definedName>
    <definedName name="_xlnm.Criteria" localSheetId="3">OrderItems!$N$2:$O$3</definedName>
    <definedName name="_xlnm.Criteria" localSheetId="2">Orders!$K$2:$L$3</definedName>
    <definedName name="_xlnm.Criteria" localSheetId="6">Products!$J$2:$K$3</definedName>
    <definedName name="Customer_ID">OFFSET(Customers!$A$2,1,,COUNTA(Customers!$A$2:$A$9999)-1,1)</definedName>
    <definedName name="Customer_Name">OFFSET(Customers!$B$2,1,,COUNTA(Customers!$B$2:$B$9999)-1,1)</definedName>
    <definedName name="Customer_NamesSorted">OFFSET(Customers!$G$2,1,,COUNTA(Customers!$G$2:$G$9999)-1,1)</definedName>
    <definedName name="_xlnm.Extract" localSheetId="4">Customers!$G$2</definedName>
    <definedName name="_xlnm.Extract" localSheetId="3">OrderItems!$Q$2:$W$2</definedName>
    <definedName name="_xlnm.Extract" localSheetId="2">Orders!$O$2:$Q$2</definedName>
    <definedName name="_xlnm.Extract" localSheetId="6">Products!$N$2:$O$2</definedName>
    <definedName name="_xlnm.Extract" localSheetId="5">Vendors!$G$2</definedName>
    <definedName name="FooterMsg">Admin!$L$5</definedName>
    <definedName name="LogoutBtn">"FooterGrp,Group 1032"</definedName>
    <definedName name="Order_ID">OFFSET(Orders!$A$2,1,,COUNTA(Orders!$A$2:$A$9999)-1,1)</definedName>
    <definedName name="OrderItems_Qty">OFFSET(OrderItems!$F$2,1,,COUNTA(OrderItems!$A$2:$A$99999)-1,1)</definedName>
    <definedName name="OrderItems_SKU">OFFSET(OrderItems!$D$2,1,,COUNTA(OrderItems!$A$2:$A$99999)-1,1)</definedName>
    <definedName name="OrderItems_Type">OFFSET(OrderItems!$B$2,1,,COUNTA(OrderItems!$A$2:$A$99999)-1,1)</definedName>
    <definedName name="_xlnm.Print_Area" localSheetId="1">POS!$I$6:$O$18</definedName>
    <definedName name="Prod_SKU">OFFSET(Products!$A$2,1,,COUNTA(Products!$A$2:$A$9999)-1,1)</definedName>
    <definedName name="Subcategory1">Admin!$D$5:$D$16</definedName>
    <definedName name="Subcategory2">Admin!$E$5:$E$16</definedName>
    <definedName name="Subcategory3">Admin!$F$5:$F$16</definedName>
    <definedName name="Subcategory4">Admin!$G$5:$G$16</definedName>
    <definedName name="Subcategory5">Admin!$H$5:$H$16</definedName>
    <definedName name="Subcategory6">Admin!$I$5:$I$16</definedName>
    <definedName name="TaxName">Admin!$L$3</definedName>
    <definedName name="TaxRate">Admin!$L$4</definedName>
    <definedName name="User_ID">OFFSET(Users!$A$2,1,,COUNTA(Users!$A$2:$A$9999)-1,1)</definedName>
    <definedName name="User_Names">OFFSET(Users!$B$2,1,,COUNTA(Users!$B$2:$B$9999)-1,1)</definedName>
    <definedName name="User_Role">OFFSET(Users!$C$2,1,,COUNTA(Users!$A$2:$A$9999)-1,1)</definedName>
    <definedName name="Vendor_ID">OFFSET(Vendors!$A$2,1,,COUNTA(Vendors!$A$2:$A$9999)-1,1)</definedName>
    <definedName name="Vendor_Name">OFFSET(Vendors!$B$2,1,,COUNTA(Vendors!$B$2:$B$9999)-1,1)</definedName>
    <definedName name="Vendor_NamesSorted">OFFSET(Vendors!$G$2,1,,COUNTA(Vendors!$G$2:$G$9999)-1,1)</definedName>
  </definedNames>
  <calcPr calcId="191029"/>
</workbook>
</file>

<file path=xl/calcChain.xml><?xml version="1.0" encoding="utf-8"?>
<calcChain xmlns="http://schemas.openxmlformats.org/spreadsheetml/2006/main">
  <c r="N8" i="1" l="1"/>
  <c r="N7" i="1"/>
  <c r="B20" i="1"/>
  <c r="B19" i="1"/>
  <c r="P1000" i="1" l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B5" i="1"/>
  <c r="N5" i="1" l="1"/>
  <c r="B7" i="1"/>
  <c r="B10" i="1"/>
  <c r="B11" i="1" s="1"/>
  <c r="B3" i="1"/>
  <c r="B4" i="1"/>
  <c r="B13" i="1"/>
  <c r="B14" i="1" s="1"/>
  <c r="A14" i="1"/>
  <c r="I4" i="1"/>
  <c r="B15" i="1" l="1"/>
  <c r="B17" i="1" s="1"/>
  <c r="N3" i="3" l="1"/>
  <c r="K3" i="2"/>
</calcChain>
</file>

<file path=xl/sharedStrings.xml><?xml version="1.0" encoding="utf-8"?>
<sst xmlns="http://schemas.openxmlformats.org/spreadsheetml/2006/main" count="2278" uniqueCount="789">
  <si>
    <t>Enter Customer</t>
  </si>
  <si>
    <t>User</t>
  </si>
  <si>
    <t>Categories</t>
  </si>
  <si>
    <t>Bread</t>
  </si>
  <si>
    <t>Product Name</t>
  </si>
  <si>
    <t>Qty</t>
  </si>
  <si>
    <t>Amount</t>
  </si>
  <si>
    <t>Disc. %</t>
  </si>
  <si>
    <t>Total</t>
  </si>
  <si>
    <t>Tax</t>
  </si>
  <si>
    <t>Tax Name</t>
  </si>
  <si>
    <t>Tax Rate</t>
  </si>
  <si>
    <t>Oranges</t>
  </si>
  <si>
    <t>Order ID</t>
  </si>
  <si>
    <t>Qty On Hand</t>
  </si>
  <si>
    <t>User ID</t>
  </si>
  <si>
    <t>User Rights</t>
  </si>
  <si>
    <t>Add Sales</t>
  </si>
  <si>
    <t>Subtotal</t>
  </si>
  <si>
    <t>Total Paid</t>
  </si>
  <si>
    <t>Change</t>
  </si>
  <si>
    <t>Order Load</t>
  </si>
  <si>
    <t>Type</t>
  </si>
  <si>
    <t>SALE</t>
  </si>
  <si>
    <t>Purchase &amp; Sales Orders</t>
  </si>
  <si>
    <t>Sel. Row</t>
  </si>
  <si>
    <t>Status</t>
  </si>
  <si>
    <t>Open</t>
  </si>
  <si>
    <t>Paid</t>
  </si>
  <si>
    <t>Refund</t>
  </si>
  <si>
    <t>Void</t>
  </si>
  <si>
    <t>User:</t>
  </si>
  <si>
    <t>Fred Fredders</t>
  </si>
  <si>
    <t>User DB Row</t>
  </si>
  <si>
    <t>Category</t>
  </si>
  <si>
    <t>Subcategories</t>
  </si>
  <si>
    <t>Ord. ID</t>
  </si>
  <si>
    <t>Drinks &amp; Beverages</t>
  </si>
  <si>
    <t>Breads &amp; Cereals</t>
  </si>
  <si>
    <t>Meats &amp; Seafood</t>
  </si>
  <si>
    <t>Dairy &amp; Eggs</t>
  </si>
  <si>
    <t>Frozen Food</t>
  </si>
  <si>
    <t>Fruits &amp; Vegetables</t>
  </si>
  <si>
    <t>Soda</t>
  </si>
  <si>
    <t>Wine</t>
  </si>
  <si>
    <t>Beer</t>
  </si>
  <si>
    <t>Spirits</t>
  </si>
  <si>
    <t>Sliced Bread</t>
  </si>
  <si>
    <t>Beef Steak</t>
  </si>
  <si>
    <t>Chicken Eggs</t>
  </si>
  <si>
    <t>Vegetables</t>
  </si>
  <si>
    <t>Ground Beef</t>
  </si>
  <si>
    <t>Cheese</t>
  </si>
  <si>
    <t>Fruit</t>
  </si>
  <si>
    <t>Chicken</t>
  </si>
  <si>
    <t>Fish</t>
  </si>
  <si>
    <t>Beef</t>
  </si>
  <si>
    <t>Seafood</t>
  </si>
  <si>
    <t>Order On</t>
  </si>
  <si>
    <t>Customers</t>
  </si>
  <si>
    <t>Cust. ID</t>
  </si>
  <si>
    <t>Customer Name</t>
  </si>
  <si>
    <t>Vendors</t>
  </si>
  <si>
    <t>Vend. ID</t>
  </si>
  <si>
    <t>Vendor Name</t>
  </si>
  <si>
    <t>Farmhouse Produce</t>
  </si>
  <si>
    <t>Freddres Dairy</t>
  </si>
  <si>
    <t>Jacksons Spirits</t>
  </si>
  <si>
    <t>Sorted Vendors</t>
  </si>
  <si>
    <t>Sorted Custmoms</t>
  </si>
  <si>
    <t>Lisa Smith</t>
  </si>
  <si>
    <t>David Davids</t>
  </si>
  <si>
    <t>Food Categories &amp; Subcategories</t>
  </si>
  <si>
    <t>Watermelon</t>
  </si>
  <si>
    <t>Mayonnaise</t>
  </si>
  <si>
    <t>Koko Krunch</t>
  </si>
  <si>
    <t>Fresh Milk</t>
  </si>
  <si>
    <t>Energy Drink</t>
  </si>
  <si>
    <t>Lobsters</t>
  </si>
  <si>
    <t>Sour Cream</t>
  </si>
  <si>
    <t>Red Bell Pepper</t>
  </si>
  <si>
    <t>Froot Loops</t>
  </si>
  <si>
    <t>Juice</t>
  </si>
  <si>
    <t>Rice Krispies</t>
  </si>
  <si>
    <t>Scallops</t>
  </si>
  <si>
    <t>Butter</t>
  </si>
  <si>
    <t>Corn Flakes</t>
  </si>
  <si>
    <t>Salmon</t>
  </si>
  <si>
    <t>Yogurt</t>
  </si>
  <si>
    <t>Cucumber</t>
  </si>
  <si>
    <t>Cakes</t>
  </si>
  <si>
    <t>Quail Eggs</t>
  </si>
  <si>
    <t>Bacon</t>
  </si>
  <si>
    <t>Vodka</t>
  </si>
  <si>
    <t>Cookies</t>
  </si>
  <si>
    <t>Chocolates</t>
  </si>
  <si>
    <t>Garlic</t>
  </si>
  <si>
    <t>Cheerios</t>
  </si>
  <si>
    <t>Hotdogs</t>
  </si>
  <si>
    <t>Ice Pops</t>
  </si>
  <si>
    <t>Coffee</t>
  </si>
  <si>
    <t>Ham</t>
  </si>
  <si>
    <t>Probiotics</t>
  </si>
  <si>
    <t>Ice Cream</t>
  </si>
  <si>
    <t>Radish</t>
  </si>
  <si>
    <t>Drinks.png</t>
  </si>
  <si>
    <t>Bread.png</t>
  </si>
  <si>
    <t>Meat.png</t>
  </si>
  <si>
    <t>Cheese.png</t>
  </si>
  <si>
    <t>Ice-Cream.png</t>
  </si>
  <si>
    <t>Cherry.png</t>
  </si>
  <si>
    <t>Icons</t>
  </si>
  <si>
    <t>Order Results</t>
  </si>
  <si>
    <t>Customer/Vendor</t>
  </si>
  <si>
    <t>Shrimp</t>
  </si>
  <si>
    <t>Crab</t>
  </si>
  <si>
    <t>Criteria</t>
  </si>
  <si>
    <t>Results</t>
  </si>
  <si>
    <t>Order Row</t>
  </si>
  <si>
    <t>Next Order ID</t>
  </si>
  <si>
    <t>Search Order Row</t>
  </si>
  <si>
    <t>Products</t>
  </si>
  <si>
    <t>Subcategory</t>
  </si>
  <si>
    <t>Coke 2-liter</t>
  </si>
  <si>
    <t>Sprite-1.5Liter</t>
  </si>
  <si>
    <t>Pepsi 2 Liter</t>
  </si>
  <si>
    <t>Red Wine 4L</t>
  </si>
  <si>
    <t>White Wine 1.5L</t>
  </si>
  <si>
    <t>Heineken 330ml</t>
  </si>
  <si>
    <t>Gin</t>
  </si>
  <si>
    <t>Rum</t>
  </si>
  <si>
    <t>Whiskey</t>
  </si>
  <si>
    <t>Scotch</t>
  </si>
  <si>
    <t>Powerade</t>
  </si>
  <si>
    <t>Bang Energy</t>
  </si>
  <si>
    <t>Monster</t>
  </si>
  <si>
    <t>Red Bull</t>
  </si>
  <si>
    <t>Purified Water</t>
  </si>
  <si>
    <t>Drinking Water</t>
  </si>
  <si>
    <t>Mineral Water</t>
  </si>
  <si>
    <t>Sparkling Water</t>
  </si>
  <si>
    <t>Distilled Water</t>
  </si>
  <si>
    <t>Cranberry Juice</t>
  </si>
  <si>
    <t>Apple Juice</t>
  </si>
  <si>
    <t>Skimmed Milk</t>
  </si>
  <si>
    <t>Milk</t>
  </si>
  <si>
    <t>Almond Milk</t>
  </si>
  <si>
    <t>Chocolate Milk</t>
  </si>
  <si>
    <t>Soy Milk</t>
  </si>
  <si>
    <t>Apple Cider</t>
  </si>
  <si>
    <t>Cider</t>
  </si>
  <si>
    <t>Margarita</t>
  </si>
  <si>
    <t>Cocktails</t>
  </si>
  <si>
    <t>Daiquiri</t>
  </si>
  <si>
    <t>Bloody Mary Mix</t>
  </si>
  <si>
    <t>Pina Colada</t>
  </si>
  <si>
    <t>Old Fashioned</t>
  </si>
  <si>
    <t>Green Tea</t>
  </si>
  <si>
    <t>Tea</t>
  </si>
  <si>
    <t>Herbal Tea</t>
  </si>
  <si>
    <t>Black Tea</t>
  </si>
  <si>
    <t>Oolong Tea</t>
  </si>
  <si>
    <t>White Tea</t>
  </si>
  <si>
    <t>Arabica</t>
  </si>
  <si>
    <t>Macchiato</t>
  </si>
  <si>
    <t>Black Coffee</t>
  </si>
  <si>
    <t>Latte</t>
  </si>
  <si>
    <t>Cappuccino</t>
  </si>
  <si>
    <t>White Bread</t>
  </si>
  <si>
    <t>Pita Bread</t>
  </si>
  <si>
    <t>Cinnamon Buns</t>
  </si>
  <si>
    <t>Buns</t>
  </si>
  <si>
    <t>Hot Cross Buns</t>
  </si>
  <si>
    <t>Croissant</t>
  </si>
  <si>
    <t>Italian Panini</t>
  </si>
  <si>
    <t>Ciabatta Bun</t>
  </si>
  <si>
    <t>Belgian Waffle</t>
  </si>
  <si>
    <t>Waffles</t>
  </si>
  <si>
    <t>Toaster Waffle</t>
  </si>
  <si>
    <t>Brussels Waffle</t>
  </si>
  <si>
    <t>Vegan Waffles</t>
  </si>
  <si>
    <t>French Crêpes</t>
  </si>
  <si>
    <t>Pancakes</t>
  </si>
  <si>
    <t>Bisquick Pancake</t>
  </si>
  <si>
    <t>Russian Blinis</t>
  </si>
  <si>
    <t>Indonesian Serabi</t>
  </si>
  <si>
    <t>Oats</t>
  </si>
  <si>
    <t>Instant Oats</t>
  </si>
  <si>
    <t>Steel Cut</t>
  </si>
  <si>
    <t>Whole Oat Groats</t>
  </si>
  <si>
    <t>Kid's Cereals</t>
  </si>
  <si>
    <t>Jelly Donut</t>
  </si>
  <si>
    <t>Donuts</t>
  </si>
  <si>
    <t>Chocolate Glazed</t>
  </si>
  <si>
    <t xml:space="preserve">Glazed </t>
  </si>
  <si>
    <t>Triple Chocalate</t>
  </si>
  <si>
    <t>Cinnamon Twist</t>
  </si>
  <si>
    <t>Chiffon Cake</t>
  </si>
  <si>
    <t>Chocolate Cake</t>
  </si>
  <si>
    <t>Blueberry Cheesecake</t>
  </si>
  <si>
    <t>Red Velvet</t>
  </si>
  <si>
    <t>Butter Cake</t>
  </si>
  <si>
    <t xml:space="preserve">Chocolate Chip </t>
  </si>
  <si>
    <t>Shortbread Cookies</t>
  </si>
  <si>
    <t>Sugar Cookies</t>
  </si>
  <si>
    <t>Butter Cookies</t>
  </si>
  <si>
    <t>Pretzels</t>
  </si>
  <si>
    <t>Crackers</t>
  </si>
  <si>
    <t>Saltine Crackers</t>
  </si>
  <si>
    <t>Grahams</t>
  </si>
  <si>
    <t>Crispbread</t>
  </si>
  <si>
    <t>Pepperoni</t>
  </si>
  <si>
    <t>Pizza Dough</t>
  </si>
  <si>
    <t>Cheese Pizza</t>
  </si>
  <si>
    <t>Buffalo Pizza</t>
  </si>
  <si>
    <t>Veggie Pizza</t>
  </si>
  <si>
    <t>Steak</t>
  </si>
  <si>
    <t>Pork Steak</t>
  </si>
  <si>
    <t>Short Ribs</t>
  </si>
  <si>
    <t>Porterhouse</t>
  </si>
  <si>
    <t>Ribeye</t>
  </si>
  <si>
    <t>Short Loin</t>
  </si>
  <si>
    <t>Sirloin</t>
  </si>
  <si>
    <t>Angus Beef</t>
  </si>
  <si>
    <t>Chicken Bites</t>
  </si>
  <si>
    <t>Chicken Breast</t>
  </si>
  <si>
    <t>Wings</t>
  </si>
  <si>
    <t>Chicken Fillet</t>
  </si>
  <si>
    <t>Tempura Shrimp</t>
  </si>
  <si>
    <t>Breaded Shrimp</t>
  </si>
  <si>
    <t>Baked Stuffed</t>
  </si>
  <si>
    <t>Frozen Lobster</t>
  </si>
  <si>
    <t>Fresh Shucked</t>
  </si>
  <si>
    <t>Clams</t>
  </si>
  <si>
    <t>Shell Fish</t>
  </si>
  <si>
    <t>Mussels</t>
  </si>
  <si>
    <t>Oysters</t>
  </si>
  <si>
    <t>Pork Ribs</t>
  </si>
  <si>
    <t>Pork</t>
  </si>
  <si>
    <t>Pork Belly</t>
  </si>
  <si>
    <t>Ground Pork</t>
  </si>
  <si>
    <t>Pork Chops</t>
  </si>
  <si>
    <t>Tuna</t>
  </si>
  <si>
    <t>Mackerel</t>
  </si>
  <si>
    <t>Tilapia</t>
  </si>
  <si>
    <t>Anchovy</t>
  </si>
  <si>
    <t>Humboldt</t>
  </si>
  <si>
    <t>Squid</t>
  </si>
  <si>
    <t>Giant Squid</t>
  </si>
  <si>
    <t xml:space="preserve">Colossal Squid </t>
  </si>
  <si>
    <t>Calamari</t>
  </si>
  <si>
    <t>Smoked Sausage</t>
  </si>
  <si>
    <t>Sausage</t>
  </si>
  <si>
    <t>Italian Sausage</t>
  </si>
  <si>
    <t>Chorizo</t>
  </si>
  <si>
    <t>Salami</t>
  </si>
  <si>
    <t>Longaniza</t>
  </si>
  <si>
    <t>Rack</t>
  </si>
  <si>
    <t>Lamb</t>
  </si>
  <si>
    <t>Rump</t>
  </si>
  <si>
    <t>Shank</t>
  </si>
  <si>
    <t>Smoked Meats</t>
  </si>
  <si>
    <t>Chicken Hotdog</t>
  </si>
  <si>
    <t>Nuggets</t>
  </si>
  <si>
    <t>Large Eggs</t>
  </si>
  <si>
    <t>Eggs</t>
  </si>
  <si>
    <t>Brown Eggs</t>
  </si>
  <si>
    <t>Cheddar</t>
  </si>
  <si>
    <t>Mozzarella</t>
  </si>
  <si>
    <t>Feta</t>
  </si>
  <si>
    <t>Real Mayo</t>
  </si>
  <si>
    <t>Organic Mayo</t>
  </si>
  <si>
    <t>Skim Milk</t>
  </si>
  <si>
    <t>Fortified milk</t>
  </si>
  <si>
    <t>Salted Butter</t>
  </si>
  <si>
    <t>Cultured Butter</t>
  </si>
  <si>
    <t>Unsalted Butter</t>
  </si>
  <si>
    <t xml:space="preserve">Instant Non-Fat </t>
  </si>
  <si>
    <t>Powdered Milk</t>
  </si>
  <si>
    <t>Dry Whole Milk</t>
  </si>
  <si>
    <t>Buttermilk Powder</t>
  </si>
  <si>
    <t>Margarine</t>
  </si>
  <si>
    <t>Spreads</t>
  </si>
  <si>
    <t>Tuna Spread</t>
  </si>
  <si>
    <t>Peanut Butter</t>
  </si>
  <si>
    <t>Sandwich Spread</t>
  </si>
  <si>
    <t>Nutella</t>
  </si>
  <si>
    <t>Creamy Yogurt</t>
  </si>
  <si>
    <t>Organic Yogurt</t>
  </si>
  <si>
    <t>Gluten-Free</t>
  </si>
  <si>
    <t>Vanilla Yogurt</t>
  </si>
  <si>
    <t>Coffee Creamer</t>
  </si>
  <si>
    <t>Cream</t>
  </si>
  <si>
    <t>Whip Cream</t>
  </si>
  <si>
    <t>Clotted Cream</t>
  </si>
  <si>
    <t>Cookies &amp; Cream</t>
  </si>
  <si>
    <t>Gelato</t>
  </si>
  <si>
    <t>Vanilla</t>
  </si>
  <si>
    <t>Yakult</t>
  </si>
  <si>
    <t>Yogurt Plain</t>
  </si>
  <si>
    <t>Mixed Vegetables</t>
  </si>
  <si>
    <t>Broccoli</t>
  </si>
  <si>
    <t>Caulliflower</t>
  </si>
  <si>
    <t>Peas &amp; Carrots</t>
  </si>
  <si>
    <t>Berry Mix</t>
  </si>
  <si>
    <t>Sliced Strawberries</t>
  </si>
  <si>
    <t>Cherry Berry Blend</t>
  </si>
  <si>
    <t>Mango Chunks</t>
  </si>
  <si>
    <t>Pineapple</t>
  </si>
  <si>
    <t>Snickers</t>
  </si>
  <si>
    <t>Hersheys</t>
  </si>
  <si>
    <t>Toblerone</t>
  </si>
  <si>
    <t>Reese's</t>
  </si>
  <si>
    <t>Twix</t>
  </si>
  <si>
    <t>Soy</t>
  </si>
  <si>
    <t>Strawberry</t>
  </si>
  <si>
    <t>Berries</t>
  </si>
  <si>
    <t>Blueberry</t>
  </si>
  <si>
    <t>Blackberry</t>
  </si>
  <si>
    <t>Raspberry</t>
  </si>
  <si>
    <t>Dewberry</t>
  </si>
  <si>
    <t>Peaches</t>
  </si>
  <si>
    <t>Stone Fruits</t>
  </si>
  <si>
    <t>Apricots</t>
  </si>
  <si>
    <t>Cherries</t>
  </si>
  <si>
    <t>Plums</t>
  </si>
  <si>
    <t>Lychees</t>
  </si>
  <si>
    <t>Bananas</t>
  </si>
  <si>
    <t>Tropical</t>
  </si>
  <si>
    <t>Mangoes</t>
  </si>
  <si>
    <t>Avocado</t>
  </si>
  <si>
    <t>Coconut</t>
  </si>
  <si>
    <t>Order DB Row</t>
  </si>
  <si>
    <t>SKU/UPC</t>
  </si>
  <si>
    <t>Row</t>
  </si>
  <si>
    <t>Order Items</t>
  </si>
  <si>
    <t>Mountain Dew 2L</t>
  </si>
  <si>
    <t>RC Cola 1L</t>
  </si>
  <si>
    <t>Noir Wine 750ML</t>
  </si>
  <si>
    <t>Colombard Wine 5L</t>
  </si>
  <si>
    <t>Dark Red Wine</t>
  </si>
  <si>
    <t>Corona Extra 355ML</t>
  </si>
  <si>
    <t>Bud Light Beer</t>
  </si>
  <si>
    <t xml:space="preserve">San Mig Light </t>
  </si>
  <si>
    <t>Coors Light</t>
  </si>
  <si>
    <t>Rockstar Energy</t>
  </si>
  <si>
    <t>Nature's Spring</t>
  </si>
  <si>
    <t xml:space="preserve">Tang Orange </t>
  </si>
  <si>
    <t>Dole Pineapple</t>
  </si>
  <si>
    <t>Mango Twist</t>
  </si>
  <si>
    <t>Spiced Apple</t>
  </si>
  <si>
    <t>Pacific Pear</t>
  </si>
  <si>
    <t>Lemon Ginger</t>
  </si>
  <si>
    <t>Wheat Bread</t>
  </si>
  <si>
    <t>Whole Grains</t>
  </si>
  <si>
    <t>Buttermilk</t>
  </si>
  <si>
    <t>Quick Oats</t>
  </si>
  <si>
    <t xml:space="preserve">Oat Raisin </t>
  </si>
  <si>
    <t xml:space="preserve">Triple Meat </t>
  </si>
  <si>
    <t xml:space="preserve">Tenderloin </t>
  </si>
  <si>
    <t>Bake Classic</t>
  </si>
  <si>
    <t>Popcorn Shrimp</t>
  </si>
  <si>
    <t>BBQ Lobster Tails</t>
  </si>
  <si>
    <t>Leg Sirloin</t>
  </si>
  <si>
    <t xml:space="preserve">Parmesan </t>
  </si>
  <si>
    <t>Parmigiano-Reggiano</t>
  </si>
  <si>
    <t>Olive Oil</t>
  </si>
  <si>
    <t xml:space="preserve">Avocado Oil </t>
  </si>
  <si>
    <t xml:space="preserve">Lactose-Free </t>
  </si>
  <si>
    <t xml:space="preserve">Low-Fat </t>
  </si>
  <si>
    <t xml:space="preserve">Full-Fat </t>
  </si>
  <si>
    <t>Sweet Cream</t>
  </si>
  <si>
    <t xml:space="preserve">Skim Milk </t>
  </si>
  <si>
    <t>Greek Flavored</t>
  </si>
  <si>
    <t>Brownie Fudge</t>
  </si>
  <si>
    <t>Mochi</t>
  </si>
  <si>
    <t>Dutch Mill</t>
  </si>
  <si>
    <t>Activia Probiotic</t>
  </si>
  <si>
    <t>Mascarpone</t>
  </si>
  <si>
    <t>Imported Cheese</t>
  </si>
  <si>
    <t>Roquefort</t>
  </si>
  <si>
    <t>Ricotta</t>
  </si>
  <si>
    <t>Cheshire</t>
  </si>
  <si>
    <t>Brussel Sprouts</t>
  </si>
  <si>
    <t>Smoked Salmon</t>
  </si>
  <si>
    <t>Fish Sticks</t>
  </si>
  <si>
    <t>Fish Fillet</t>
  </si>
  <si>
    <t>Seasoned Tilapia</t>
  </si>
  <si>
    <t>Breast Cutlets</t>
  </si>
  <si>
    <t>Chicken Patties</t>
  </si>
  <si>
    <t>Chicken Thighs</t>
  </si>
  <si>
    <t>Beef Patty</t>
  </si>
  <si>
    <t>Lean Ground</t>
  </si>
  <si>
    <t>Beef Brisket</t>
  </si>
  <si>
    <t>Beef Cubes</t>
  </si>
  <si>
    <t>Seasoned Mussels</t>
  </si>
  <si>
    <t>Raw Shrimp</t>
  </si>
  <si>
    <t>Seafood Salad</t>
  </si>
  <si>
    <t>Crawfish Tails</t>
  </si>
  <si>
    <t>Salted Sticks</t>
  </si>
  <si>
    <t>Unsalted Sticks</t>
  </si>
  <si>
    <t xml:space="preserve">Sea Salt </t>
  </si>
  <si>
    <t>Vegan Butter</t>
  </si>
  <si>
    <t>Soy Yogurt</t>
  </si>
  <si>
    <t>Tofu</t>
  </si>
  <si>
    <t>Soy Shake</t>
  </si>
  <si>
    <t>Patty</t>
  </si>
  <si>
    <t xml:space="preserve">BBQ Pork </t>
  </si>
  <si>
    <t>Meatballs</t>
  </si>
  <si>
    <t>Spring Rolls</t>
  </si>
  <si>
    <t>Blueberry Pop</t>
  </si>
  <si>
    <t>Rose Pop</t>
  </si>
  <si>
    <t>Fruit Popsicle</t>
  </si>
  <si>
    <t>Apricot Cherry</t>
  </si>
  <si>
    <t>Sundae</t>
  </si>
  <si>
    <t>Floats</t>
  </si>
  <si>
    <t>Sherbet</t>
  </si>
  <si>
    <t>Yellow Bell Pepper</t>
  </si>
  <si>
    <t>Bell Pepper</t>
  </si>
  <si>
    <t>Green Bell Peppers</t>
  </si>
  <si>
    <t xml:space="preserve">Cubanelle </t>
  </si>
  <si>
    <t>Citrus</t>
  </si>
  <si>
    <t>Grapefruits</t>
  </si>
  <si>
    <t>Mandarins</t>
  </si>
  <si>
    <t>Lime</t>
  </si>
  <si>
    <t>Lemon</t>
  </si>
  <si>
    <t>Melons</t>
  </si>
  <si>
    <t>Honey Drew</t>
  </si>
  <si>
    <t>Rockmelons</t>
  </si>
  <si>
    <t>Winter Melon</t>
  </si>
  <si>
    <t>Lettuce</t>
  </si>
  <si>
    <t>Leafy Green</t>
  </si>
  <si>
    <t>Spinach</t>
  </si>
  <si>
    <t>Silverbeet</t>
  </si>
  <si>
    <t>Cabbage</t>
  </si>
  <si>
    <t>Collard</t>
  </si>
  <si>
    <t>Pumpkin</t>
  </si>
  <si>
    <t>Marrow</t>
  </si>
  <si>
    <t>Zucchini</t>
  </si>
  <si>
    <t>Gem Squash</t>
  </si>
  <si>
    <t>Potato</t>
  </si>
  <si>
    <t>Root</t>
  </si>
  <si>
    <t>Sweet Potato</t>
  </si>
  <si>
    <t>Yam</t>
  </si>
  <si>
    <t>Celery</t>
  </si>
  <si>
    <t>Bok Choy</t>
  </si>
  <si>
    <t>Cruciferous</t>
  </si>
  <si>
    <t>Chinese Cabbage</t>
  </si>
  <si>
    <t>Chinese Brocoli</t>
  </si>
  <si>
    <t>Kale</t>
  </si>
  <si>
    <t>Onion</t>
  </si>
  <si>
    <t>Allium</t>
  </si>
  <si>
    <t>Shallot</t>
  </si>
  <si>
    <t>Chives</t>
  </si>
  <si>
    <t xml:space="preserve">Apple </t>
  </si>
  <si>
    <t>Pome</t>
  </si>
  <si>
    <t>Pears</t>
  </si>
  <si>
    <t>Medlars</t>
  </si>
  <si>
    <t>Quinces</t>
  </si>
  <si>
    <t>&lt;&gt;</t>
  </si>
  <si>
    <t>Footer Message</t>
  </si>
  <si>
    <t>ADMIN</t>
  </si>
  <si>
    <t>Manager</t>
  </si>
  <si>
    <t>Staff</t>
  </si>
  <si>
    <t>Trainee</t>
  </si>
  <si>
    <t>Add/Edit/Void/Refund Sales &amp; Purchases</t>
  </si>
  <si>
    <t>Add Sales &amp; Purchases</t>
  </si>
  <si>
    <t>User Name</t>
  </si>
  <si>
    <t>Fred Frankles</t>
  </si>
  <si>
    <t>Nancy Smith</t>
  </si>
  <si>
    <t>Betty White</t>
  </si>
  <si>
    <t>Users</t>
  </si>
  <si>
    <t>Role</t>
  </si>
  <si>
    <t>User Rights &amp; Roles</t>
  </si>
  <si>
    <t>Healthy Cereal</t>
  </si>
  <si>
    <t>Fanta 6pck can</t>
  </si>
  <si>
    <t>Coke 6pck can</t>
  </si>
  <si>
    <t>Pepsi 6pck can</t>
  </si>
  <si>
    <t>Sprite 6pck can</t>
  </si>
  <si>
    <t>Pinot Noir Wine</t>
  </si>
  <si>
    <t>Rose Wine 750ml</t>
  </si>
  <si>
    <t>Moscato Wine</t>
  </si>
  <si>
    <t>Prosecco 750ml</t>
  </si>
  <si>
    <t>Budweiser 6pck can</t>
  </si>
  <si>
    <t>Bud light 6pck can</t>
  </si>
  <si>
    <t>Guiness 6pck can</t>
  </si>
  <si>
    <t>Corona Light can</t>
  </si>
  <si>
    <t>Bacardi 1L</t>
  </si>
  <si>
    <t>Jack Daniels 1L</t>
  </si>
  <si>
    <t>Smirnoff 750ml</t>
  </si>
  <si>
    <t>Jim Beam Bourbon</t>
  </si>
  <si>
    <t>5-Hour Enrgy</t>
  </si>
  <si>
    <t>Bomb Energy Drink</t>
  </si>
  <si>
    <t>NOS Drink</t>
  </si>
  <si>
    <t>Xyience Energy</t>
  </si>
  <si>
    <t>Evian 24-500ml</t>
  </si>
  <si>
    <t>Aquafina 24-500ml</t>
  </si>
  <si>
    <t>Dasani 24-500ml</t>
  </si>
  <si>
    <t>Fiji 24-500ml</t>
  </si>
  <si>
    <t>Hawaiian Punch 1G</t>
  </si>
  <si>
    <t>V8 1L</t>
  </si>
  <si>
    <t>Snapple 1.89L</t>
  </si>
  <si>
    <t>Tropicana orange 1L</t>
  </si>
  <si>
    <t>Organic Whole Milk</t>
  </si>
  <si>
    <t>Reduced Fat Milk</t>
  </si>
  <si>
    <t>Non Fat Milk</t>
  </si>
  <si>
    <t>Organic Low Fat</t>
  </si>
  <si>
    <t>Pineapple Cider</t>
  </si>
  <si>
    <t>Pear Apple Cider</t>
  </si>
  <si>
    <t>Orange Cider</t>
  </si>
  <si>
    <t>Dry Rose Cider</t>
  </si>
  <si>
    <t>Espresso Martini</t>
  </si>
  <si>
    <t>Passionfruit mimosa</t>
  </si>
  <si>
    <t>Mojito</t>
  </si>
  <si>
    <t>Sangria Spritz</t>
  </si>
  <si>
    <t>Earl Grey</t>
  </si>
  <si>
    <t>English Breakfast</t>
  </si>
  <si>
    <t>Chamomile Tea</t>
  </si>
  <si>
    <t>Hoeny &amp; Ginger Tea</t>
  </si>
  <si>
    <t>Americano</t>
  </si>
  <si>
    <t>Ristretto</t>
  </si>
  <si>
    <t>Flat White</t>
  </si>
  <si>
    <t>Rye Bread</t>
  </si>
  <si>
    <t>Baguette</t>
  </si>
  <si>
    <t>Multigrain Bread</t>
  </si>
  <si>
    <t>Sourdough</t>
  </si>
  <si>
    <t>Breadstick</t>
  </si>
  <si>
    <t>Challah Bun</t>
  </si>
  <si>
    <t>Brioche</t>
  </si>
  <si>
    <t>Pumpernickle</t>
  </si>
  <si>
    <t>Apple Cinnamon</t>
  </si>
  <si>
    <t>American Waffle</t>
  </si>
  <si>
    <t>Leige Waffle</t>
  </si>
  <si>
    <t>Buttermilk Waffle</t>
  </si>
  <si>
    <t>English Pancake</t>
  </si>
  <si>
    <t>Vegan Pancake</t>
  </si>
  <si>
    <t>British Pancake</t>
  </si>
  <si>
    <t>Suffle Pancake</t>
  </si>
  <si>
    <t>Maple Oats</t>
  </si>
  <si>
    <t>Apples &amp; Cinnamon</t>
  </si>
  <si>
    <t>Banana Nut Oats</t>
  </si>
  <si>
    <t>Organic Oatmeal</t>
  </si>
  <si>
    <t>Raisin Bran</t>
  </si>
  <si>
    <t>Cookie Crisp</t>
  </si>
  <si>
    <t>Reese's Puffs</t>
  </si>
  <si>
    <t>Mini Wheats</t>
  </si>
  <si>
    <t>Lucky Charms</t>
  </si>
  <si>
    <t>Alpen Muesli</t>
  </si>
  <si>
    <t>Great Grains</t>
  </si>
  <si>
    <t>Protein Cereal</t>
  </si>
  <si>
    <t>Granola Clusters</t>
  </si>
  <si>
    <t>Whole Grain Puffs</t>
  </si>
  <si>
    <t>Glazed Donuts</t>
  </si>
  <si>
    <t>Cronuts</t>
  </si>
  <si>
    <t>Apple Fritter</t>
  </si>
  <si>
    <t>Donut Holes</t>
  </si>
  <si>
    <t>Cruller Donut</t>
  </si>
  <si>
    <t>Pound Cake</t>
  </si>
  <si>
    <t>Sponge Cake</t>
  </si>
  <si>
    <t>Angel Food Cake</t>
  </si>
  <si>
    <t>Flourless Cake</t>
  </si>
  <si>
    <t>Snickerdoodle</t>
  </si>
  <si>
    <t>Biscotti</t>
  </si>
  <si>
    <t>WhoopiePie Cookie</t>
  </si>
  <si>
    <t>Fortune Cookie</t>
  </si>
  <si>
    <t>Wheat Thins</t>
  </si>
  <si>
    <t>Animal Crackers</t>
  </si>
  <si>
    <t>Sea Salt Crackers</t>
  </si>
  <si>
    <t>Butter Crackers</t>
  </si>
  <si>
    <t>New York Style</t>
  </si>
  <si>
    <t>Flatbread Pizza</t>
  </si>
  <si>
    <t>Margherita Pizza</t>
  </si>
  <si>
    <t>4 Cheese Pizza</t>
  </si>
  <si>
    <t>Tomahawk</t>
  </si>
  <si>
    <t>Flank Steak</t>
  </si>
  <si>
    <t>Wagyu Steak</t>
  </si>
  <si>
    <t>Filet Mignon</t>
  </si>
  <si>
    <t>Brisket</t>
  </si>
  <si>
    <t>Back Ribs</t>
  </si>
  <si>
    <t>Tri Tip</t>
  </si>
  <si>
    <t>Strip Filet</t>
  </si>
  <si>
    <t>Whole Chicken</t>
  </si>
  <si>
    <t>Drumsticks</t>
  </si>
  <si>
    <t>Ground Chicken</t>
  </si>
  <si>
    <t>Thighs</t>
  </si>
  <si>
    <t>Black Tiger Prawns</t>
  </si>
  <si>
    <t>Deveined Shrimp</t>
  </si>
  <si>
    <t>Bacon Wrapped</t>
  </si>
  <si>
    <t>Shrimp Cocktail</t>
  </si>
  <si>
    <t>Live Maine Lobster</t>
  </si>
  <si>
    <t>Tails- Cold Water</t>
  </si>
  <si>
    <t>Tails-Warm Water</t>
  </si>
  <si>
    <t>Mac cheese lobster</t>
  </si>
  <si>
    <t>Dungeness Crab</t>
  </si>
  <si>
    <t>Blue Crab</t>
  </si>
  <si>
    <t>Crawfish</t>
  </si>
  <si>
    <t>King Crab</t>
  </si>
  <si>
    <t>Pork Hocks</t>
  </si>
  <si>
    <t>Boston Butt</t>
  </si>
  <si>
    <t>Blade Steak</t>
  </si>
  <si>
    <t>Crown Rost</t>
  </si>
  <si>
    <t>Loin Roast</t>
  </si>
  <si>
    <t>Cod</t>
  </si>
  <si>
    <t>Pollock</t>
  </si>
  <si>
    <t>Mahi Mahi</t>
  </si>
  <si>
    <t>Striped Bass</t>
  </si>
  <si>
    <t>Sardines</t>
  </si>
  <si>
    <t>Kielbasa Mild</t>
  </si>
  <si>
    <t>Kielbasa Spicy</t>
  </si>
  <si>
    <t>Andouille Garlic</t>
  </si>
  <si>
    <t>Andoiulle Spicy</t>
  </si>
  <si>
    <t>Bratwurst</t>
  </si>
  <si>
    <t>Rack Cap</t>
  </si>
  <si>
    <t>Shortloin</t>
  </si>
  <si>
    <t>Leg Shank</t>
  </si>
  <si>
    <t>Fore Shank</t>
  </si>
  <si>
    <t>Bone in Ham</t>
  </si>
  <si>
    <t>Pastrami</t>
  </si>
  <si>
    <t>Smoked Turkey</t>
  </si>
  <si>
    <t>Provolone</t>
  </si>
  <si>
    <t>Swiss</t>
  </si>
  <si>
    <t>Pepper Jack</t>
  </si>
  <si>
    <t>American</t>
  </si>
  <si>
    <t>Miracle Whip 887ml</t>
  </si>
  <si>
    <t>Vegenaise</t>
  </si>
  <si>
    <t>Japanese Mayo</t>
  </si>
  <si>
    <t>Eggless Mayo</t>
  </si>
  <si>
    <t>Organic Milk</t>
  </si>
  <si>
    <t>Rice Milk</t>
  </si>
  <si>
    <t>Oat Milk</t>
  </si>
  <si>
    <t>Flax Milk</t>
  </si>
  <si>
    <t>Hazelnut Milk</t>
  </si>
  <si>
    <t>Spreadable Butter</t>
  </si>
  <si>
    <t>Grass Fed Butter</t>
  </si>
  <si>
    <t>Organic Butter</t>
  </si>
  <si>
    <t>Plant Based Butter</t>
  </si>
  <si>
    <t>European Butter</t>
  </si>
  <si>
    <t>Organic Powdered</t>
  </si>
  <si>
    <t>Whole Goat Milk</t>
  </si>
  <si>
    <t>Full Cream</t>
  </si>
  <si>
    <t>Instant Low Fat</t>
  </si>
  <si>
    <t>Almond Butter</t>
  </si>
  <si>
    <t>Apple Butter</t>
  </si>
  <si>
    <t>Hummus</t>
  </si>
  <si>
    <t>Chutney</t>
  </si>
  <si>
    <t>Frozen Yogurt</t>
  </si>
  <si>
    <t>Drinking Yogurt</t>
  </si>
  <si>
    <t>Stirred Yogurt</t>
  </si>
  <si>
    <t>Low Fat Yogurt</t>
  </si>
  <si>
    <t>Heavy Cream</t>
  </si>
  <si>
    <t>Crème Fraiche</t>
  </si>
  <si>
    <t>Double Cream</t>
  </si>
  <si>
    <t>Half and Half</t>
  </si>
  <si>
    <t>Brie</t>
  </si>
  <si>
    <t>Camembert</t>
  </si>
  <si>
    <t>Pecorino Tartufoo</t>
  </si>
  <si>
    <t>Manchego</t>
  </si>
  <si>
    <t>Cherry Garcia</t>
  </si>
  <si>
    <t>Neopolitan</t>
  </si>
  <si>
    <t>Mud Pie</t>
  </si>
  <si>
    <t>Corn</t>
  </si>
  <si>
    <t>Butternut Squash</t>
  </si>
  <si>
    <t>Asparagus</t>
  </si>
  <si>
    <t>Green Beans</t>
  </si>
  <si>
    <t>Dark Cherry</t>
  </si>
  <si>
    <t>Dragonfruit</t>
  </si>
  <si>
    <t>Acai</t>
  </si>
  <si>
    <t>Beer Battered Fillet</t>
  </si>
  <si>
    <t>Grilled Salmon</t>
  </si>
  <si>
    <t>Baked Cod</t>
  </si>
  <si>
    <t>Grilled Cod</t>
  </si>
  <si>
    <t>Chicken Tenders</t>
  </si>
  <si>
    <t>Chicken Pot Pie</t>
  </si>
  <si>
    <t>Fried Chicken</t>
  </si>
  <si>
    <t>Orange Chicken</t>
  </si>
  <si>
    <t>Frozen Bulgogi</t>
  </si>
  <si>
    <t>Burger Patty</t>
  </si>
  <si>
    <t>Beef Meatballs</t>
  </si>
  <si>
    <t>Philly Steak</t>
  </si>
  <si>
    <t>Beer Batter Shrimp</t>
  </si>
  <si>
    <t>Shrimp Scampi</t>
  </si>
  <si>
    <t>Walnut Shrimp</t>
  </si>
  <si>
    <t>Cooked Shrimp</t>
  </si>
  <si>
    <t>Edemame</t>
  </si>
  <si>
    <t>Soy milk ice cream</t>
  </si>
  <si>
    <t>Soy Smoothie</t>
  </si>
  <si>
    <t>Frozen bean curd</t>
  </si>
  <si>
    <t>Frozen Dumplings</t>
  </si>
  <si>
    <t>Meat Lasagna</t>
  </si>
  <si>
    <t>Pork Buns</t>
  </si>
  <si>
    <t>Pork Carnitas</t>
  </si>
  <si>
    <t>Ghirardelli</t>
  </si>
  <si>
    <t>Lindt</t>
  </si>
  <si>
    <t>Dairy Milk</t>
  </si>
  <si>
    <t>Milky Way</t>
  </si>
  <si>
    <t>M&amp;Ms</t>
  </si>
  <si>
    <t>Skittles Pops</t>
  </si>
  <si>
    <t>Jelly Belly ice pops</t>
  </si>
  <si>
    <t>Double Pops</t>
  </si>
  <si>
    <t>Tootsie Pop</t>
  </si>
  <si>
    <t>Fudge Pops</t>
  </si>
  <si>
    <t>Ice cream cake</t>
  </si>
  <si>
    <t>Ice Cream Bar</t>
  </si>
  <si>
    <t>Drumstick cone</t>
  </si>
  <si>
    <t>Ice Cream Sandwich</t>
  </si>
  <si>
    <t>Cranberries</t>
  </si>
  <si>
    <t>Goji Berries</t>
  </si>
  <si>
    <t>Acai Berries</t>
  </si>
  <si>
    <t>Grapes</t>
  </si>
  <si>
    <t>Nectarines</t>
  </si>
  <si>
    <t>Mango</t>
  </si>
  <si>
    <t>Olives</t>
  </si>
  <si>
    <t>Dates</t>
  </si>
  <si>
    <t>Fig</t>
  </si>
  <si>
    <t>Papaya</t>
  </si>
  <si>
    <t>Orange</t>
  </si>
  <si>
    <t>Passion Fruit</t>
  </si>
  <si>
    <t>Citron</t>
  </si>
  <si>
    <t>Pomelo</t>
  </si>
  <si>
    <t>Tangerines</t>
  </si>
  <si>
    <t>Blood Orange</t>
  </si>
  <si>
    <t>Key Lime</t>
  </si>
  <si>
    <t>Application Defaults</t>
  </si>
  <si>
    <t>Order Status</t>
  </si>
  <si>
    <t>PURCHASE</t>
  </si>
  <si>
    <t>Enter Order</t>
  </si>
  <si>
    <t>Sel. Result Row</t>
  </si>
  <si>
    <t>User Role</t>
  </si>
  <si>
    <t>Jazz Apples</t>
  </si>
  <si>
    <t>Honeycrisp Apples</t>
  </si>
  <si>
    <t>Crispps Pink</t>
  </si>
  <si>
    <t>Empire Apples</t>
  </si>
  <si>
    <t>Mini Sweet Pepper</t>
  </si>
  <si>
    <t>Orange Bell Pepper</t>
  </si>
  <si>
    <t>Cherry Pepper</t>
  </si>
  <si>
    <t>Purple Bell Pepper</t>
  </si>
  <si>
    <t>Autumn Sweet</t>
  </si>
  <si>
    <t>Cantaloupe</t>
  </si>
  <si>
    <t>Korean Melon</t>
  </si>
  <si>
    <t>Jade Dew</t>
  </si>
  <si>
    <t>Arugula</t>
  </si>
  <si>
    <t>Chard</t>
  </si>
  <si>
    <t>Endive</t>
  </si>
  <si>
    <t>Zucchini Squash</t>
  </si>
  <si>
    <t>Round Zucchini</t>
  </si>
  <si>
    <t>Hubbarb Squash</t>
  </si>
  <si>
    <t>Spaghetti Squash</t>
  </si>
  <si>
    <t>Turnips</t>
  </si>
  <si>
    <t>Ginger</t>
  </si>
  <si>
    <t>Beets</t>
  </si>
  <si>
    <t>Fennel</t>
  </si>
  <si>
    <t>Daikon</t>
  </si>
  <si>
    <t>Horse Raddish</t>
  </si>
  <si>
    <t>Wasabi</t>
  </si>
  <si>
    <t>Scallions</t>
  </si>
  <si>
    <t>Leeks</t>
  </si>
  <si>
    <t>Spring onions</t>
  </si>
  <si>
    <t>Ramps</t>
  </si>
  <si>
    <t>Kashi Go Original</t>
  </si>
  <si>
    <t>Original Bran</t>
  </si>
  <si>
    <t>Oatmeal Square</t>
  </si>
  <si>
    <t>Cheerios Original</t>
  </si>
  <si>
    <t>Skin On Squid Ring</t>
  </si>
  <si>
    <t>Squid Flower Cut</t>
  </si>
  <si>
    <t>Squid Tube 1kg</t>
  </si>
  <si>
    <t>Whole Squid 500g</t>
  </si>
  <si>
    <t>Cage Free Eggs</t>
  </si>
  <si>
    <t>Organic Brown Eggs</t>
  </si>
  <si>
    <t>Pasture Raised Eggs</t>
  </si>
  <si>
    <t>Medium White Eggs</t>
  </si>
  <si>
    <t>Probiotic Yogurt</t>
  </si>
  <si>
    <t>Kombucha</t>
  </si>
  <si>
    <t>1% Milk Kefir</t>
  </si>
  <si>
    <t>Probiotic Smoothie</t>
  </si>
  <si>
    <t>Cust./Vend.</t>
  </si>
  <si>
    <t>Scan SKU/UPC</t>
  </si>
  <si>
    <t>Order On:</t>
  </si>
  <si>
    <t>Status:</t>
  </si>
  <si>
    <t>SKU/UPC ID</t>
  </si>
  <si>
    <t>Enter Prod DB Row</t>
  </si>
  <si>
    <t>DB  Row</t>
  </si>
  <si>
    <t>New Customer</t>
  </si>
  <si>
    <t>New Vendor</t>
  </si>
  <si>
    <t>Sally Smith</t>
  </si>
  <si>
    <t>Jane Johnson</t>
  </si>
  <si>
    <t>*David Davids*</t>
  </si>
  <si>
    <t>Purchase £</t>
  </si>
  <si>
    <t>Sales £</t>
  </si>
  <si>
    <t>Thank you for shopping at Findlay's Groceries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</si>
</sst>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_);\(&quot;$&quot;#,##0.00\)"/>
    <numFmt numFmtId="165" formatCode="_(&quot;$&quot;* #,##0.00_);_(&quot;$&quot;* \(#,##0.00\);_(&quot;$&quot;* &quot;-&quot;??_);_(@_)"/>
    <numFmt numFmtId="166" formatCode="[$-409]m/d/yy\ h:mm\ AM/PM;@"/>
    <numFmt numFmtId="167" formatCode="_(&quot;£&quot;* #,##0.00_);_(&quot;£&quot;* \(#,##0.00\);_(&quot;£&quot;* &quot;-&quot;??_);_(@_)"/>
    <numFmt numFmtId="168" formatCode="&quot;£&quot;#,##0.00_);\(&quot;£&quot;#,##0.0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0"/>
      <name val="Segoe UI"/>
      <family val="2"/>
    </font>
    <font>
      <b/>
      <sz val="11"/>
      <color theme="1"/>
      <name val="Segoe UI"/>
      <family val="2"/>
    </font>
    <font>
      <sz val="11"/>
      <color theme="0"/>
      <name val="Segoe UI"/>
      <family val="2"/>
    </font>
    <font>
      <sz val="10"/>
      <color theme="1"/>
      <name val="Segoe UI"/>
      <family val="2"/>
    </font>
    <font>
      <sz val="11"/>
      <color theme="3" tint="-0.249977111117893"/>
      <name val="Segoe UI"/>
      <family val="2"/>
    </font>
    <font>
      <sz val="12"/>
      <color theme="1"/>
      <name val="Segoe UI"/>
      <family val="2"/>
    </font>
    <font>
      <sz val="30"/>
      <color theme="1"/>
      <name val="Segoe UI"/>
      <family val="2"/>
    </font>
  </fonts>
  <fills count="32">
    <fill>
      <patternFill patternType="none"/>
    </fill>
    <fill>
      <patternFill patternType="gray125"/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degree="90">
        <stop position="0">
          <color theme="4" tint="0.80001220740379042"/>
        </stop>
        <stop position="1">
          <color theme="4" tint="0.59999389629810485"/>
        </stop>
      </gradientFill>
    </fill>
    <fill>
      <gradientFill degree="90">
        <stop position="0">
          <color theme="0" tint="-5.0965910824915313E-2"/>
        </stop>
        <stop position="1">
          <color theme="0" tint="-0.1490218817712943"/>
        </stop>
      </gradientFill>
    </fill>
    <fill>
      <patternFill patternType="solid">
        <fgColor theme="3" tint="0.399975585192419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gradientFill degree="270">
        <stop position="0">
          <color theme="3" tint="0.59999389629810485"/>
        </stop>
        <stop position="1">
          <color theme="3" tint="0.40000610370189521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rgb="FF92D050"/>
        <bgColor indexed="64"/>
      </patternFill>
    </fill>
    <fill>
      <gradientFill degree="90">
        <stop position="0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gradientFill degree="90">
        <stop position="0">
          <color theme="0" tint="-0.25098422193060094"/>
        </stop>
        <stop position="1">
          <color theme="0" tint="-0.1490218817712943"/>
        </stop>
      </gradientFill>
    </fill>
    <fill>
      <gradientFill degree="90">
        <stop position="0">
          <color theme="0" tint="-0.1490218817712943"/>
        </stop>
        <stop position="1">
          <color theme="0" tint="-5.0965910824915313E-2"/>
        </stop>
      </gradientFill>
    </fill>
    <fill>
      <patternFill patternType="solid">
        <fgColor rgb="FF4BD0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 tint="-0.24994659260841701"/>
      </left>
      <right style="thin">
        <color indexed="64"/>
      </right>
      <top style="thin">
        <color indexed="64"/>
      </top>
      <bottom style="medium">
        <color theme="3" tint="-0.24994659260841701"/>
      </bottom>
      <diagonal/>
    </border>
    <border>
      <left/>
      <right/>
      <top/>
      <bottom style="thin">
        <color indexed="64"/>
      </bottom>
      <diagonal/>
    </border>
    <border>
      <left style="medium">
        <color theme="3" tint="-0.24994659260841701"/>
      </left>
      <right/>
      <top style="medium">
        <color theme="3" tint="-0.24994659260841701"/>
      </top>
      <bottom style="thin">
        <color indexed="64"/>
      </bottom>
      <diagonal/>
    </border>
    <border>
      <left/>
      <right/>
      <top style="medium">
        <color theme="3" tint="-0.24994659260841701"/>
      </top>
      <bottom style="thin">
        <color indexed="64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thin">
        <color indexed="64"/>
      </bottom>
      <diagonal/>
    </border>
  </borders>
  <cellStyleXfs count="3">
    <xf numFmtId="0" fontId="0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25">
    <xf numFmtId="0" fontId="0" fillId="0" borderId="0" xfId="0"/>
    <xf numFmtId="0" fontId="1" fillId="24" borderId="1" xfId="0" applyFont="1" applyFill="1" applyBorder="1"/>
    <xf numFmtId="0" fontId="1" fillId="24" borderId="1" xfId="0" applyFont="1" applyFill="1" applyBorder="1" applyAlignment="1">
      <alignment horizontal="left"/>
    </xf>
    <xf numFmtId="0" fontId="1" fillId="2" borderId="0" xfId="0" applyFont="1" applyFill="1" applyBorder="1"/>
    <xf numFmtId="0" fontId="1" fillId="0" borderId="0" xfId="0" applyFont="1"/>
    <xf numFmtId="0" fontId="1" fillId="3" borderId="0" xfId="0" applyFont="1" applyFill="1" applyBorder="1"/>
    <xf numFmtId="0" fontId="1" fillId="3" borderId="0" xfId="0" applyFont="1" applyFill="1" applyBorder="1" applyAlignment="1">
      <alignment horizontal="right" vertical="center"/>
    </xf>
    <xf numFmtId="0" fontId="1" fillId="4" borderId="0" xfId="0" applyFont="1" applyFill="1" applyBorder="1"/>
    <xf numFmtId="0" fontId="1" fillId="5" borderId="1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 indent="1"/>
    </xf>
    <xf numFmtId="0" fontId="1" fillId="4" borderId="1" xfId="0" applyFont="1" applyFill="1" applyBorder="1" applyAlignment="1">
      <alignment horizontal="right" vertical="center"/>
    </xf>
    <xf numFmtId="0" fontId="4" fillId="30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right"/>
    </xf>
    <xf numFmtId="0" fontId="1" fillId="5" borderId="1" xfId="0" applyFont="1" applyFill="1" applyBorder="1"/>
    <xf numFmtId="0" fontId="1" fillId="4" borderId="1" xfId="0" applyFont="1" applyFill="1" applyBorder="1" applyAlignment="1"/>
    <xf numFmtId="22" fontId="1" fillId="4" borderId="2" xfId="0" applyNumberFormat="1" applyFont="1" applyFill="1" applyBorder="1" applyAlignment="1"/>
    <xf numFmtId="0" fontId="1" fillId="4" borderId="0" xfId="0" applyFont="1" applyFill="1" applyBorder="1" applyAlignment="1"/>
    <xf numFmtId="0" fontId="4" fillId="4" borderId="3" xfId="0" applyFont="1" applyFill="1" applyBorder="1" applyAlignment="1">
      <alignment vertical="center"/>
    </xf>
    <xf numFmtId="0" fontId="4" fillId="5" borderId="3" xfId="0" applyFont="1" applyFill="1" applyBorder="1" applyAlignment="1">
      <alignment horizontal="left" vertical="center"/>
    </xf>
    <xf numFmtId="166" fontId="1" fillId="4" borderId="0" xfId="0" applyNumberFormat="1" applyFont="1" applyFill="1" applyBorder="1" applyAlignment="1"/>
    <xf numFmtId="0" fontId="1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4" fillId="13" borderId="8" xfId="0" applyFont="1" applyFill="1" applyBorder="1" applyAlignment="1">
      <alignment horizontal="center"/>
    </xf>
    <xf numFmtId="0" fontId="4" fillId="13" borderId="9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left"/>
    </xf>
    <xf numFmtId="0" fontId="8" fillId="4" borderId="2" xfId="0" applyFont="1" applyFill="1" applyBorder="1" applyAlignment="1">
      <alignment horizontal="left"/>
    </xf>
    <xf numFmtId="0" fontId="8" fillId="4" borderId="2" xfId="0" applyFont="1" applyFill="1" applyBorder="1" applyAlignment="1">
      <alignment horizontal="center"/>
    </xf>
    <xf numFmtId="168" fontId="8" fillId="4" borderId="2" xfId="1" applyNumberFormat="1" applyFont="1" applyFill="1" applyBorder="1" applyAlignment="1">
      <alignment horizontal="left"/>
    </xf>
    <xf numFmtId="9" fontId="8" fillId="4" borderId="2" xfId="2" applyFont="1" applyFill="1" applyBorder="1" applyAlignment="1">
      <alignment horizontal="right"/>
    </xf>
    <xf numFmtId="167" fontId="8" fillId="4" borderId="2" xfId="1" applyNumberFormat="1" applyFont="1" applyFill="1" applyBorder="1" applyAlignment="1">
      <alignment horizontal="left"/>
    </xf>
    <xf numFmtId="0" fontId="8" fillId="4" borderId="5" xfId="0" applyFont="1" applyFill="1" applyBorder="1" applyAlignment="1">
      <alignment horizontal="left"/>
    </xf>
    <xf numFmtId="0" fontId="8" fillId="4" borderId="4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left"/>
    </xf>
    <xf numFmtId="0" fontId="8" fillId="4" borderId="0" xfId="0" applyFont="1" applyFill="1" applyBorder="1" applyAlignment="1">
      <alignment horizontal="left"/>
    </xf>
    <xf numFmtId="0" fontId="8" fillId="4" borderId="0" xfId="0" applyFont="1" applyFill="1" applyBorder="1" applyAlignment="1">
      <alignment horizontal="center"/>
    </xf>
    <xf numFmtId="168" fontId="8" fillId="4" borderId="0" xfId="1" applyNumberFormat="1" applyFont="1" applyFill="1" applyBorder="1" applyAlignment="1">
      <alignment horizontal="left"/>
    </xf>
    <xf numFmtId="9" fontId="8" fillId="4" borderId="0" xfId="2" applyFont="1" applyFill="1" applyBorder="1" applyAlignment="1">
      <alignment horizontal="right"/>
    </xf>
    <xf numFmtId="167" fontId="8" fillId="4" borderId="0" xfId="1" applyNumberFormat="1" applyFont="1" applyFill="1" applyBorder="1" applyAlignment="1">
      <alignment horizontal="left"/>
    </xf>
    <xf numFmtId="0" fontId="8" fillId="4" borderId="7" xfId="0" applyFont="1" applyFill="1" applyBorder="1" applyAlignment="1">
      <alignment horizontal="left"/>
    </xf>
    <xf numFmtId="164" fontId="8" fillId="4" borderId="0" xfId="0" applyNumberFormat="1" applyFont="1" applyFill="1" applyBorder="1" applyAlignment="1">
      <alignment horizontal="left"/>
    </xf>
    <xf numFmtId="0" fontId="1" fillId="27" borderId="0" xfId="0" applyFont="1" applyFill="1" applyBorder="1"/>
    <xf numFmtId="0" fontId="1" fillId="28" borderId="1" xfId="0" applyFont="1" applyFill="1" applyBorder="1"/>
    <xf numFmtId="167" fontId="1" fillId="28" borderId="1" xfId="1" applyNumberFormat="1" applyFont="1" applyFill="1" applyBorder="1"/>
    <xf numFmtId="164" fontId="8" fillId="4" borderId="0" xfId="1" applyNumberFormat="1" applyFont="1" applyFill="1" applyBorder="1" applyAlignment="1">
      <alignment horizontal="left"/>
    </xf>
    <xf numFmtId="165" fontId="8" fillId="4" borderId="0" xfId="1" applyFont="1" applyFill="1" applyBorder="1" applyAlignment="1">
      <alignment horizontal="left"/>
    </xf>
    <xf numFmtId="168" fontId="1" fillId="28" borderId="1" xfId="1" applyNumberFormat="1" applyFont="1" applyFill="1" applyBorder="1"/>
    <xf numFmtId="0" fontId="1" fillId="31" borderId="1" xfId="0" applyFont="1" applyFill="1" applyBorder="1"/>
    <xf numFmtId="0" fontId="1" fillId="4" borderId="6" xfId="0" applyFont="1" applyFill="1" applyBorder="1" applyAlignment="1">
      <alignment horizontal="left"/>
    </xf>
    <xf numFmtId="0" fontId="1" fillId="4" borderId="0" xfId="0" applyFont="1" applyFill="1" applyBorder="1" applyAlignment="1">
      <alignment horizontal="left"/>
    </xf>
    <xf numFmtId="165" fontId="1" fillId="4" borderId="0" xfId="1" applyFont="1" applyFill="1" applyBorder="1" applyAlignment="1">
      <alignment horizontal="left"/>
    </xf>
    <xf numFmtId="9" fontId="1" fillId="4" borderId="0" xfId="2" applyFont="1" applyFill="1" applyBorder="1" applyAlignment="1">
      <alignment horizontal="right"/>
    </xf>
    <xf numFmtId="0" fontId="1" fillId="4" borderId="7" xfId="0" applyFont="1" applyFill="1" applyBorder="1" applyAlignment="1">
      <alignment horizontal="left"/>
    </xf>
    <xf numFmtId="0" fontId="1" fillId="4" borderId="6" xfId="0" applyFont="1" applyFill="1" applyBorder="1"/>
    <xf numFmtId="165" fontId="1" fillId="4" borderId="0" xfId="1" applyFont="1" applyFill="1" applyBorder="1"/>
    <xf numFmtId="0" fontId="1" fillId="4" borderId="7" xfId="0" applyFont="1" applyFill="1" applyBorder="1"/>
    <xf numFmtId="0" fontId="1" fillId="0" borderId="0" xfId="0" applyFont="1" applyFill="1" applyBorder="1"/>
    <xf numFmtId="0" fontId="1" fillId="4" borderId="0" xfId="0" applyFont="1" applyFill="1"/>
    <xf numFmtId="0" fontId="4" fillId="26" borderId="1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4" fillId="4" borderId="1" xfId="0" applyFont="1" applyFill="1" applyBorder="1" applyAlignment="1">
      <alignment horizontal="center"/>
    </xf>
    <xf numFmtId="165" fontId="1" fillId="0" borderId="0" xfId="1" applyFont="1"/>
    <xf numFmtId="0" fontId="1" fillId="0" borderId="0" xfId="0" applyFont="1" applyAlignment="1">
      <alignment wrapText="1"/>
    </xf>
    <xf numFmtId="0" fontId="1" fillId="5" borderId="0" xfId="0" applyFont="1" applyFill="1"/>
    <xf numFmtId="167" fontId="1" fillId="0" borderId="0" xfId="1" applyNumberFormat="1" applyFont="1"/>
    <xf numFmtId="0" fontId="9" fillId="2" borderId="0" xfId="0" applyFont="1" applyFill="1" applyAlignment="1"/>
    <xf numFmtId="0" fontId="1" fillId="3" borderId="0" xfId="0" applyFont="1" applyFill="1"/>
    <xf numFmtId="0" fontId="1" fillId="8" borderId="11" xfId="0" applyFont="1" applyFill="1" applyBorder="1"/>
    <xf numFmtId="0" fontId="3" fillId="14" borderId="1" xfId="0" applyFont="1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Border="1" applyAlignment="1">
      <alignment horizontal="left"/>
    </xf>
    <xf numFmtId="0" fontId="5" fillId="14" borderId="1" xfId="0" applyFont="1" applyFill="1" applyBorder="1" applyAlignment="1">
      <alignment horizontal="center"/>
    </xf>
    <xf numFmtId="10" fontId="1" fillId="0" borderId="1" xfId="2" applyNumberFormat="1" applyFont="1" applyBorder="1" applyAlignment="1">
      <alignment horizontal="left"/>
    </xf>
    <xf numFmtId="0" fontId="1" fillId="0" borderId="10" xfId="0" applyFont="1" applyBorder="1"/>
    <xf numFmtId="0" fontId="1" fillId="0" borderId="1" xfId="0" applyFont="1" applyBorder="1"/>
    <xf numFmtId="0" fontId="1" fillId="8" borderId="3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7" borderId="1" xfId="0" applyFont="1" applyFill="1" applyBorder="1"/>
    <xf numFmtId="0" fontId="1" fillId="4" borderId="0" xfId="0" applyFont="1" applyFill="1" applyAlignment="1">
      <alignment horizontal="left"/>
    </xf>
    <xf numFmtId="0" fontId="1" fillId="4" borderId="0" xfId="0" applyFont="1" applyFill="1" applyAlignment="1"/>
    <xf numFmtId="0" fontId="1" fillId="0" borderId="0" xfId="0" applyFont="1" applyAlignment="1"/>
    <xf numFmtId="0" fontId="1" fillId="4" borderId="0" xfId="0" applyFont="1" applyFill="1" applyAlignment="1">
      <alignment horizontal="center"/>
    </xf>
    <xf numFmtId="0" fontId="4" fillId="23" borderId="1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3" borderId="1" xfId="0" applyFont="1" applyFill="1" applyBorder="1"/>
    <xf numFmtId="22" fontId="1" fillId="0" borderId="0" xfId="0" applyNumberFormat="1" applyFont="1"/>
    <xf numFmtId="164" fontId="1" fillId="0" borderId="0" xfId="0" applyNumberFormat="1" applyFont="1"/>
    <xf numFmtId="0" fontId="1" fillId="9" borderId="1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1" fillId="0" borderId="0" xfId="0" applyNumberFormat="1" applyFont="1"/>
    <xf numFmtId="0" fontId="1" fillId="6" borderId="1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1" fillId="16" borderId="1" xfId="0" applyFont="1" applyFill="1" applyBorder="1"/>
    <xf numFmtId="0" fontId="1" fillId="10" borderId="1" xfId="0" applyFont="1" applyFill="1" applyBorder="1" applyAlignment="1">
      <alignment horizontal="center"/>
    </xf>
    <xf numFmtId="0" fontId="1" fillId="19" borderId="1" xfId="0" applyFont="1" applyFill="1" applyBorder="1"/>
    <xf numFmtId="0" fontId="1" fillId="18" borderId="1" xfId="0" applyFont="1" applyFill="1" applyBorder="1"/>
    <xf numFmtId="0" fontId="9" fillId="2" borderId="0" xfId="0" applyFont="1" applyFill="1" applyAlignment="1">
      <alignment horizontal="center"/>
    </xf>
    <xf numFmtId="0" fontId="1" fillId="0" borderId="8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8" borderId="11" xfId="0" applyFont="1" applyFill="1" applyBorder="1" applyAlignment="1">
      <alignment horizontal="center" vertical="center"/>
    </xf>
    <xf numFmtId="0" fontId="1" fillId="8" borderId="12" xfId="0" applyFont="1" applyFill="1" applyBorder="1" applyAlignment="1">
      <alignment horizontal="center" vertical="center"/>
    </xf>
    <xf numFmtId="0" fontId="3" fillId="21" borderId="14" xfId="0" applyFont="1" applyFill="1" applyBorder="1" applyAlignment="1">
      <alignment horizontal="center"/>
    </xf>
    <xf numFmtId="0" fontId="3" fillId="21" borderId="15" xfId="0" applyFont="1" applyFill="1" applyBorder="1" applyAlignment="1">
      <alignment horizontal="center"/>
    </xf>
    <xf numFmtId="0" fontId="3" fillId="21" borderId="16" xfId="0" applyFont="1" applyFill="1" applyBorder="1" applyAlignment="1">
      <alignment horizontal="center"/>
    </xf>
    <xf numFmtId="0" fontId="3" fillId="21" borderId="4" xfId="0" applyFont="1" applyFill="1" applyBorder="1" applyAlignment="1">
      <alignment horizontal="center"/>
    </xf>
    <xf numFmtId="0" fontId="3" fillId="21" borderId="2" xfId="0" applyFont="1" applyFill="1" applyBorder="1" applyAlignment="1">
      <alignment horizontal="center"/>
    </xf>
    <xf numFmtId="0" fontId="3" fillId="21" borderId="5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/>
    </xf>
    <xf numFmtId="0" fontId="4" fillId="29" borderId="1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right"/>
    </xf>
    <xf numFmtId="166" fontId="1" fillId="4" borderId="1" xfId="0" applyNumberFormat="1" applyFont="1" applyFill="1" applyBorder="1" applyAlignment="1">
      <alignment horizontal="left"/>
    </xf>
    <xf numFmtId="0" fontId="4" fillId="22" borderId="0" xfId="0" applyFont="1" applyFill="1" applyAlignment="1">
      <alignment horizontal="center"/>
    </xf>
    <xf numFmtId="0" fontId="4" fillId="22" borderId="1" xfId="0" applyFont="1" applyFill="1" applyBorder="1" applyAlignment="1">
      <alignment horizontal="center"/>
    </xf>
    <xf numFmtId="0" fontId="4" fillId="22" borderId="0" xfId="0" applyFont="1" applyFill="1" applyBorder="1" applyAlignment="1">
      <alignment horizontal="center"/>
    </xf>
    <xf numFmtId="0" fontId="1" fillId="17" borderId="0" xfId="0" applyFont="1" applyFill="1" applyAlignment="1">
      <alignment horizontal="center"/>
    </xf>
    <xf numFmtId="0" fontId="4" fillId="11" borderId="13" xfId="0" applyFont="1" applyFill="1" applyBorder="1" applyAlignment="1">
      <alignment horizontal="center"/>
    </xf>
    <xf numFmtId="0" fontId="4" fillId="11" borderId="1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4" fillId="7" borderId="8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25" borderId="1" xfId="0" applyFont="1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0">
    <dxf>
      <fill>
        <patternFill>
          <bgColor rgb="FFF4F7FA"/>
        </patternFill>
      </fill>
      <border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auto="1"/>
          <bgColor rgb="FFECF2F8"/>
        </patternFill>
      </fill>
      <border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0"/>
        </patternFill>
      </fill>
    </dxf>
    <dxf>
      <fill>
        <gradientFill degree="90">
          <stop position="0">
            <color rgb="FFF7F7F7"/>
          </stop>
          <stop position="1">
            <color rgb="FFF7F7F7"/>
          </stop>
        </gradientFill>
      </fill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3" tint="-0.25098422193060094"/>
          </stop>
        </gradientFill>
      </fill>
    </dxf>
    <dxf>
      <font>
        <b val="0"/>
        <i/>
        <color theme="0" tint="-0.34998626667073579"/>
      </font>
    </dxf>
    <dxf>
      <font>
        <b/>
        <i val="0"/>
      </font>
      <fill>
        <patternFill>
          <bgColor rgb="FFE1EAF3"/>
        </patternFill>
      </fill>
    </dxf>
    <dxf>
      <border>
        <left/>
        <right/>
        <top/>
        <bottom/>
        <vertical/>
        <horizontal/>
      </border>
    </dxf>
    <dxf>
      <fill>
        <gradientFill degree="90">
          <stop position="0">
            <color rgb="FFF7F7F7"/>
          </stop>
          <stop position="1">
            <color rgb="FFF7F7F7"/>
          </stop>
        </gradient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EA0000"/>
      <color rgb="FF4BD0FF"/>
      <color rgb="FFF4F7FA"/>
      <color rgb="FFECF2F8"/>
      <color rgb="FFE1EAF3"/>
      <color rgb="FFF7F7F7"/>
      <color rgb="FFCCD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1</xdr:row>
      <xdr:rowOff>166687</xdr:rowOff>
    </xdr:from>
    <xdr:to>
      <xdr:col>9</xdr:col>
      <xdr:colOff>129540</xdr:colOff>
      <xdr:row>1</xdr:row>
      <xdr:rowOff>395287</xdr:rowOff>
    </xdr:to>
    <xdr:sp macro="[0]!SalesPurchase_Toggle" textlink="">
      <xdr:nvSpPr>
        <xdr:cNvPr id="67" name="ToggleBack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5353050" y="728662"/>
          <a:ext cx="548640" cy="228600"/>
        </a:xfrm>
        <a:prstGeom prst="rect">
          <a:avLst/>
        </a:prstGeom>
        <a:solidFill>
          <a:schemeClr val="bg1"/>
        </a:solidFill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533400</xdr:colOff>
      <xdr:row>1</xdr:row>
      <xdr:rowOff>166687</xdr:rowOff>
    </xdr:from>
    <xdr:to>
      <xdr:col>8</xdr:col>
      <xdr:colOff>807720</xdr:colOff>
      <xdr:row>1</xdr:row>
      <xdr:rowOff>395287</xdr:rowOff>
    </xdr:to>
    <xdr:sp macro="[0]!SalesPurchase_Toggle" textlink="">
      <xdr:nvSpPr>
        <xdr:cNvPr id="463" name="ToggleSwitch">
          <a:extLst>
            <a:ext uri="{FF2B5EF4-FFF2-40B4-BE49-F238E27FC236}">
              <a16:creationId xmlns:a16="http://schemas.microsoft.com/office/drawing/2014/main" id="{00000000-0008-0000-0100-0000CF010000}"/>
            </a:ext>
          </a:extLst>
        </xdr:cNvPr>
        <xdr:cNvSpPr/>
      </xdr:nvSpPr>
      <xdr:spPr>
        <a:xfrm>
          <a:off x="2600325" y="728662"/>
          <a:ext cx="274320" cy="228600"/>
        </a:xfrm>
        <a:prstGeom prst="rect">
          <a:avLst/>
        </a:prstGeom>
        <a:solidFill>
          <a:srgbClr val="0070C0"/>
        </a:solidFill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47625</xdr:colOff>
      <xdr:row>1</xdr:row>
      <xdr:rowOff>166687</xdr:rowOff>
    </xdr:from>
    <xdr:to>
      <xdr:col>8</xdr:col>
      <xdr:colOff>504825</xdr:colOff>
      <xdr:row>1</xdr:row>
      <xdr:rowOff>395287</xdr:rowOff>
    </xdr:to>
    <xdr:sp macro="" textlink="">
      <xdr:nvSpPr>
        <xdr:cNvPr id="464" name="TextBox 463">
          <a:extLst>
            <a:ext uri="{FF2B5EF4-FFF2-40B4-BE49-F238E27FC236}">
              <a16:creationId xmlns:a16="http://schemas.microsoft.com/office/drawing/2014/main" id="{00000000-0008-0000-0100-0000D0010000}"/>
            </a:ext>
          </a:extLst>
        </xdr:cNvPr>
        <xdr:cNvSpPr txBox="1"/>
      </xdr:nvSpPr>
      <xdr:spPr>
        <a:xfrm>
          <a:off x="4867275" y="728662"/>
          <a:ext cx="4572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tIns="0" rIns="18288" bIns="0" rtlCol="0" anchor="ctr"/>
        <a:lstStyle/>
        <a:p>
          <a:pPr algn="r"/>
          <a:r>
            <a:rPr lang="en-US" sz="1100" b="1" i="0" u="none" strike="noStrike">
              <a:solidFill>
                <a:srgbClr val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SALE</a:t>
          </a:r>
        </a:p>
      </xdr:txBody>
    </xdr:sp>
    <xdr:clientData/>
  </xdr:twoCellAnchor>
  <xdr:twoCellAnchor>
    <xdr:from>
      <xdr:col>9</xdr:col>
      <xdr:colOff>142875</xdr:colOff>
      <xdr:row>1</xdr:row>
      <xdr:rowOff>166687</xdr:rowOff>
    </xdr:from>
    <xdr:to>
      <xdr:col>9</xdr:col>
      <xdr:colOff>920115</xdr:colOff>
      <xdr:row>1</xdr:row>
      <xdr:rowOff>395287</xdr:rowOff>
    </xdr:to>
    <xdr:sp macro="" textlink="">
      <xdr:nvSpPr>
        <xdr:cNvPr id="465" name="TextBox 464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SpPr txBox="1"/>
      </xdr:nvSpPr>
      <xdr:spPr>
        <a:xfrm>
          <a:off x="5915025" y="728662"/>
          <a:ext cx="77724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tIns="0" rIns="18288" bIns="0" rtlCol="0" anchor="ctr"/>
        <a:lstStyle/>
        <a:p>
          <a:pPr algn="l"/>
          <a:r>
            <a:rPr lang="en-US" sz="1100" b="1" i="0" u="none" strike="noStrike">
              <a:solidFill>
                <a:srgbClr val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PURCHASE</a:t>
          </a:r>
        </a:p>
      </xdr:txBody>
    </xdr:sp>
    <xdr:clientData/>
  </xdr:twoCellAnchor>
  <xdr:twoCellAnchor>
    <xdr:from>
      <xdr:col>9</xdr:col>
      <xdr:colOff>1133475</xdr:colOff>
      <xdr:row>1</xdr:row>
      <xdr:rowOff>100011</xdr:rowOff>
    </xdr:from>
    <xdr:to>
      <xdr:col>12</xdr:col>
      <xdr:colOff>276225</xdr:colOff>
      <xdr:row>1</xdr:row>
      <xdr:rowOff>447674</xdr:rowOff>
    </xdr:to>
    <xdr:sp macro="" textlink="$B$1">
      <xdr:nvSpPr>
        <xdr:cNvPr id="466" name="TextBox 465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SpPr txBox="1"/>
      </xdr:nvSpPr>
      <xdr:spPr>
        <a:xfrm>
          <a:off x="6905625" y="661986"/>
          <a:ext cx="1962150" cy="3476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tIns="0" rIns="18288" bIns="0" rtlCol="0" anchor="ctr"/>
        <a:lstStyle/>
        <a:p>
          <a:pPr algn="ctr"/>
          <a:fld id="{3A1C7FC0-6890-4241-A12C-4A956DF9DFAF}" type="TxLink">
            <a:rPr lang="en-US" sz="2500" b="0" i="0" u="none" strike="noStrike">
              <a:solidFill>
                <a:schemeClr val="tx2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pPr algn="ctr"/>
            <a:t>SALE</a:t>
          </a:fld>
          <a:endParaRPr lang="en-US" sz="2500" b="1" i="0" u="none" strike="noStrike">
            <a:solidFill>
              <a:schemeClr val="tx2">
                <a:lumMod val="7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22</xdr:col>
      <xdr:colOff>731520</xdr:colOff>
      <xdr:row>0</xdr:row>
      <xdr:rowOff>0</xdr:rowOff>
    </xdr:to>
    <xdr:sp macro="" textlink="">
      <xdr:nvSpPr>
        <xdr:cNvPr id="474" name="Rectangle 473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SpPr/>
      </xdr:nvSpPr>
      <xdr:spPr>
        <a:xfrm>
          <a:off x="11934825" y="0"/>
          <a:ext cx="731520" cy="0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100" b="0"/>
            <a:t>Logout</a:t>
          </a:r>
        </a:p>
      </xdr:txBody>
    </xdr:sp>
    <xdr:clientData/>
  </xdr:twoCellAnchor>
  <xdr:twoCellAnchor editAs="oneCell">
    <xdr:from>
      <xdr:col>18</xdr:col>
      <xdr:colOff>0</xdr:colOff>
      <xdr:row>1</xdr:row>
      <xdr:rowOff>128586</xdr:rowOff>
    </xdr:from>
    <xdr:to>
      <xdr:col>18</xdr:col>
      <xdr:colOff>685800</xdr:colOff>
      <xdr:row>3</xdr:row>
      <xdr:rowOff>42861</xdr:rowOff>
    </xdr:to>
    <xdr:grpSp>
      <xdr:nvGrpSpPr>
        <xdr:cNvPr id="97" name="CategoryGrp2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GrpSpPr/>
      </xdr:nvGrpSpPr>
      <xdr:grpSpPr>
        <a:xfrm>
          <a:off x="9574530" y="688656"/>
          <a:ext cx="685800" cy="683895"/>
          <a:chOff x="11603355" y="690561"/>
          <a:chExt cx="685800" cy="685800"/>
        </a:xfrm>
      </xdr:grpSpPr>
      <xdr:sp macro="[0]!POS_LoadSubCategory" textlink="Admin!E4">
        <xdr:nvSpPr>
          <xdr:cNvPr id="423" name="Category2">
            <a:extLst>
              <a:ext uri="{FF2B5EF4-FFF2-40B4-BE49-F238E27FC236}">
                <a16:creationId xmlns:a16="http://schemas.microsoft.com/office/drawing/2014/main" id="{00000000-0008-0000-0100-0000A7010000}"/>
              </a:ext>
            </a:extLst>
          </xdr:cNvPr>
          <xdr:cNvSpPr/>
        </xdr:nvSpPr>
        <xdr:spPr>
          <a:xfrm>
            <a:off x="11603355" y="690561"/>
            <a:ext cx="685800" cy="685800"/>
          </a:xfrm>
          <a:prstGeom prst="rect">
            <a:avLst/>
          </a:prstGeom>
        </xdr:spPr>
        <xdr:style>
          <a:lnRef idx="1">
            <a:schemeClr val="accent1"/>
          </a:lnRef>
          <a:fillRef idx="1001">
            <a:schemeClr val="dk2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2511AED8-365C-477D-862C-CD3847321438}" type="TxLink">
              <a:rPr lang="en-US" sz="1000" b="0" i="0" u="none" strike="noStrike">
                <a:solidFill>
                  <a:srgbClr val="FFFFFF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Breads &amp; Cereals</a:t>
            </a:fld>
            <a:endParaRPr lang="en-US" sz="10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POS_LoadSubCategory">
        <xdr:nvPicPr>
          <xdr:cNvPr id="69" name="CatIcon2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44325" y="716700"/>
            <a:ext cx="411581" cy="292608"/>
          </a:xfrm>
          <a:prstGeom prst="rect">
            <a:avLst/>
          </a:prstGeom>
        </xdr:spPr>
      </xdr:pic>
    </xdr:grpSp>
    <xdr:clientData/>
  </xdr:twoCellAnchor>
  <xdr:twoCellAnchor editAs="oneCell">
    <xdr:from>
      <xdr:col>20</xdr:col>
      <xdr:colOff>0</xdr:colOff>
      <xdr:row>1</xdr:row>
      <xdr:rowOff>128586</xdr:rowOff>
    </xdr:from>
    <xdr:to>
      <xdr:col>20</xdr:col>
      <xdr:colOff>685800</xdr:colOff>
      <xdr:row>3</xdr:row>
      <xdr:rowOff>42861</xdr:rowOff>
    </xdr:to>
    <xdr:grpSp>
      <xdr:nvGrpSpPr>
        <xdr:cNvPr id="99" name="CategoryGrp4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GrpSpPr/>
      </xdr:nvGrpSpPr>
      <xdr:grpSpPr>
        <a:xfrm>
          <a:off x="11266170" y="688656"/>
          <a:ext cx="685800" cy="683895"/>
          <a:chOff x="13169265" y="690561"/>
          <a:chExt cx="685800" cy="685800"/>
        </a:xfrm>
      </xdr:grpSpPr>
      <xdr:sp macro="[0]!POS_LoadSubCategory" textlink="Admin!G4">
        <xdr:nvSpPr>
          <xdr:cNvPr id="425" name="Category4">
            <a:extLst>
              <a:ext uri="{FF2B5EF4-FFF2-40B4-BE49-F238E27FC236}">
                <a16:creationId xmlns:a16="http://schemas.microsoft.com/office/drawing/2014/main" id="{00000000-0008-0000-0100-0000A9010000}"/>
              </a:ext>
            </a:extLst>
          </xdr:cNvPr>
          <xdr:cNvSpPr/>
        </xdr:nvSpPr>
        <xdr:spPr>
          <a:xfrm>
            <a:off x="13169265" y="690561"/>
            <a:ext cx="685800" cy="685800"/>
          </a:xfrm>
          <a:prstGeom prst="rect">
            <a:avLst/>
          </a:prstGeom>
        </xdr:spPr>
        <xdr:style>
          <a:lnRef idx="1">
            <a:schemeClr val="accent1"/>
          </a:lnRef>
          <a:fillRef idx="1001">
            <a:schemeClr val="dk2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44386170-6D6B-429E-B64D-8878E2A0EBFC}" type="TxLink">
              <a:rPr lang="en-US" sz="1000" b="0" i="0" u="none" strike="noStrike">
                <a:solidFill>
                  <a:srgbClr val="FFFFFF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Dairy &amp; Eggs</a:t>
            </a:fld>
            <a:endParaRPr lang="en-US" sz="10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POS_LoadSubCategory">
        <xdr:nvPicPr>
          <xdr:cNvPr id="70" name="CatIcon4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370700" y="716700"/>
            <a:ext cx="292608" cy="292608"/>
          </a:xfrm>
          <a:prstGeom prst="rect">
            <a:avLst/>
          </a:prstGeom>
        </xdr:spPr>
      </xdr:pic>
    </xdr:grpSp>
    <xdr:clientData/>
  </xdr:twoCellAnchor>
  <xdr:twoCellAnchor editAs="oneCell">
    <xdr:from>
      <xdr:col>22</xdr:col>
      <xdr:colOff>0</xdr:colOff>
      <xdr:row>1</xdr:row>
      <xdr:rowOff>128586</xdr:rowOff>
    </xdr:from>
    <xdr:to>
      <xdr:col>22</xdr:col>
      <xdr:colOff>685800</xdr:colOff>
      <xdr:row>3</xdr:row>
      <xdr:rowOff>42861</xdr:rowOff>
    </xdr:to>
    <xdr:grpSp>
      <xdr:nvGrpSpPr>
        <xdr:cNvPr id="1026" name="CategoryGrp6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GrpSpPr/>
      </xdr:nvGrpSpPr>
      <xdr:grpSpPr>
        <a:xfrm>
          <a:off x="12957810" y="688656"/>
          <a:ext cx="685800" cy="683895"/>
          <a:chOff x="14735175" y="690561"/>
          <a:chExt cx="685800" cy="685800"/>
        </a:xfrm>
      </xdr:grpSpPr>
      <xdr:sp macro="[0]!POS_LoadSubCategory" textlink="Admin!I4">
        <xdr:nvSpPr>
          <xdr:cNvPr id="427" name="Category6">
            <a:extLst>
              <a:ext uri="{FF2B5EF4-FFF2-40B4-BE49-F238E27FC236}">
                <a16:creationId xmlns:a16="http://schemas.microsoft.com/office/drawing/2014/main" id="{00000000-0008-0000-0100-0000AB010000}"/>
              </a:ext>
            </a:extLst>
          </xdr:cNvPr>
          <xdr:cNvSpPr/>
        </xdr:nvSpPr>
        <xdr:spPr>
          <a:xfrm>
            <a:off x="14735175" y="690561"/>
            <a:ext cx="685800" cy="685800"/>
          </a:xfrm>
          <a:prstGeom prst="rect">
            <a:avLst/>
          </a:prstGeom>
        </xdr:spPr>
        <xdr:style>
          <a:lnRef idx="1">
            <a:schemeClr val="accent1"/>
          </a:lnRef>
          <a:fillRef idx="1001">
            <a:schemeClr val="dk2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E054A255-2D27-4E19-8598-368224E27CFB}" type="TxLink">
              <a:rPr lang="en-US" sz="1000" b="0" i="0" u="none" strike="noStrike">
                <a:solidFill>
                  <a:srgbClr val="FFFFFF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Fruits &amp; Vegetables</a:t>
            </a:fld>
            <a:endParaRPr lang="en-US" sz="10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POS_LoadSubCategory">
        <xdr:nvPicPr>
          <xdr:cNvPr id="71" name="CatIcon6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911350" y="707175"/>
            <a:ext cx="292608" cy="292608"/>
          </a:xfrm>
          <a:prstGeom prst="rect">
            <a:avLst/>
          </a:prstGeom>
        </xdr:spPr>
      </xdr:pic>
    </xdr:grpSp>
    <xdr:clientData/>
  </xdr:twoCellAnchor>
  <xdr:twoCellAnchor editAs="oneCell">
    <xdr:from>
      <xdr:col>17</xdr:col>
      <xdr:colOff>0</xdr:colOff>
      <xdr:row>1</xdr:row>
      <xdr:rowOff>128586</xdr:rowOff>
    </xdr:from>
    <xdr:to>
      <xdr:col>17</xdr:col>
      <xdr:colOff>685800</xdr:colOff>
      <xdr:row>3</xdr:row>
      <xdr:rowOff>42861</xdr:rowOff>
    </xdr:to>
    <xdr:grpSp>
      <xdr:nvGrpSpPr>
        <xdr:cNvPr id="96" name="CategoryGrp1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GrpSpPr/>
      </xdr:nvGrpSpPr>
      <xdr:grpSpPr>
        <a:xfrm>
          <a:off x="8728710" y="688656"/>
          <a:ext cx="685800" cy="683895"/>
          <a:chOff x="10820400" y="690561"/>
          <a:chExt cx="685800" cy="685800"/>
        </a:xfrm>
      </xdr:grpSpPr>
      <xdr:sp macro="[0]!POS_LoadSubCategory" textlink="Admin!D4">
        <xdr:nvSpPr>
          <xdr:cNvPr id="45" name="Category1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SpPr/>
        </xdr:nvSpPr>
        <xdr:spPr>
          <a:xfrm>
            <a:off x="10820400" y="690561"/>
            <a:ext cx="685800" cy="685800"/>
          </a:xfrm>
          <a:prstGeom prst="rect">
            <a:avLst/>
          </a:prstGeom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61D81DC4-BD1C-4D90-9EB6-394A9B8681A8}" type="TxLink">
              <a:rPr lang="en-US" sz="1000" b="0" i="0" u="none" strike="noStrike">
                <a:solidFill>
                  <a:srgbClr val="FFFFFF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Drinks &amp; Beverages</a:t>
            </a:fld>
            <a:endParaRPr lang="en-US" sz="10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POS_LoadSubCategory">
        <xdr:nvPicPr>
          <xdr:cNvPr id="72" name="CatIcon1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013225" y="707175"/>
            <a:ext cx="292608" cy="292608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514350</xdr:colOff>
      <xdr:row>1</xdr:row>
      <xdr:rowOff>196177</xdr:rowOff>
    </xdr:from>
    <xdr:to>
      <xdr:col>15</xdr:col>
      <xdr:colOff>217170</xdr:colOff>
      <xdr:row>1</xdr:row>
      <xdr:rowOff>424777</xdr:rowOff>
    </xdr:to>
    <xdr:grpSp>
      <xdr:nvGrpSpPr>
        <xdr:cNvPr id="1126" name="LogoutBtn">
          <a:extLst>
            <a:ext uri="{FF2B5EF4-FFF2-40B4-BE49-F238E27FC236}">
              <a16:creationId xmlns:a16="http://schemas.microsoft.com/office/drawing/2014/main" id="{00000000-0008-0000-0100-000066040000}"/>
            </a:ext>
          </a:extLst>
        </xdr:cNvPr>
        <xdr:cNvGrpSpPr/>
      </xdr:nvGrpSpPr>
      <xdr:grpSpPr>
        <a:xfrm>
          <a:off x="7486650" y="756247"/>
          <a:ext cx="819150" cy="228600"/>
          <a:chOff x="9715500" y="758152"/>
          <a:chExt cx="731520" cy="228600"/>
        </a:xfrm>
      </xdr:grpSpPr>
      <xdr:sp macro="[0]!User_Logout" textlink="">
        <xdr:nvSpPr>
          <xdr:cNvPr id="473" name="Rectangle 472">
            <a:extLst>
              <a:ext uri="{FF2B5EF4-FFF2-40B4-BE49-F238E27FC236}">
                <a16:creationId xmlns:a16="http://schemas.microsoft.com/office/drawing/2014/main" id="{00000000-0008-0000-0100-0000D9010000}"/>
              </a:ext>
            </a:extLst>
          </xdr:cNvPr>
          <xdr:cNvSpPr/>
        </xdr:nvSpPr>
        <xdr:spPr>
          <a:xfrm>
            <a:off x="9715500" y="758152"/>
            <a:ext cx="731520" cy="228600"/>
          </a:xfrm>
          <a:prstGeom prst="rect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0"/>
              <a:t>Logout</a:t>
            </a:r>
          </a:p>
        </xdr:txBody>
      </xdr:sp>
      <xdr:pic macro="[0]!User_Logout">
        <xdr:nvPicPr>
          <xdr:cNvPr id="73" name="Picture 72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34475" y="781012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21</xdr:col>
      <xdr:colOff>0</xdr:colOff>
      <xdr:row>1</xdr:row>
      <xdr:rowOff>128586</xdr:rowOff>
    </xdr:from>
    <xdr:to>
      <xdr:col>21</xdr:col>
      <xdr:colOff>685800</xdr:colOff>
      <xdr:row>3</xdr:row>
      <xdr:rowOff>42861</xdr:rowOff>
    </xdr:to>
    <xdr:grpSp>
      <xdr:nvGrpSpPr>
        <xdr:cNvPr id="1025" name="CategoryGrp5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GrpSpPr/>
      </xdr:nvGrpSpPr>
      <xdr:grpSpPr>
        <a:xfrm>
          <a:off x="12111990" y="688656"/>
          <a:ext cx="685800" cy="683895"/>
          <a:chOff x="13952220" y="690561"/>
          <a:chExt cx="685800" cy="685800"/>
        </a:xfrm>
      </xdr:grpSpPr>
      <xdr:sp macro="[0]!POS_LoadSubCategory" textlink="Admin!H4">
        <xdr:nvSpPr>
          <xdr:cNvPr id="426" name="Category5">
            <a:extLst>
              <a:ext uri="{FF2B5EF4-FFF2-40B4-BE49-F238E27FC236}">
                <a16:creationId xmlns:a16="http://schemas.microsoft.com/office/drawing/2014/main" id="{00000000-0008-0000-0100-0000AA010000}"/>
              </a:ext>
            </a:extLst>
          </xdr:cNvPr>
          <xdr:cNvSpPr/>
        </xdr:nvSpPr>
        <xdr:spPr>
          <a:xfrm>
            <a:off x="13952220" y="690561"/>
            <a:ext cx="685800" cy="685800"/>
          </a:xfrm>
          <a:prstGeom prst="rect">
            <a:avLst/>
          </a:prstGeom>
        </xdr:spPr>
        <xdr:style>
          <a:lnRef idx="1">
            <a:schemeClr val="accent1"/>
          </a:lnRef>
          <a:fillRef idx="1001">
            <a:schemeClr val="dk2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D70B9330-4475-461B-8C69-E2E117BA95D4}" type="TxLink">
              <a:rPr lang="en-US" sz="1000" b="0" i="0" u="none" strike="noStrike">
                <a:solidFill>
                  <a:srgbClr val="FFFFFF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Frozen Food</a:t>
            </a:fld>
            <a:endParaRPr lang="en-US" sz="10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POS_LoadSubCategory">
        <xdr:nvPicPr>
          <xdr:cNvPr id="80" name="CatIcon5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08825" y="707175"/>
            <a:ext cx="178307" cy="292608"/>
          </a:xfrm>
          <a:prstGeom prst="rect">
            <a:avLst/>
          </a:prstGeom>
        </xdr:spPr>
      </xdr:pic>
    </xdr:grpSp>
    <xdr:clientData/>
  </xdr:twoCellAnchor>
  <xdr:twoCellAnchor editAs="oneCell">
    <xdr:from>
      <xdr:col>19</xdr:col>
      <xdr:colOff>0</xdr:colOff>
      <xdr:row>1</xdr:row>
      <xdr:rowOff>128586</xdr:rowOff>
    </xdr:from>
    <xdr:to>
      <xdr:col>19</xdr:col>
      <xdr:colOff>685800</xdr:colOff>
      <xdr:row>3</xdr:row>
      <xdr:rowOff>42861</xdr:rowOff>
    </xdr:to>
    <xdr:grpSp>
      <xdr:nvGrpSpPr>
        <xdr:cNvPr id="98" name="CategoryGrp3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GrpSpPr/>
      </xdr:nvGrpSpPr>
      <xdr:grpSpPr>
        <a:xfrm>
          <a:off x="10420350" y="688656"/>
          <a:ext cx="685800" cy="683895"/>
          <a:chOff x="12386310" y="690561"/>
          <a:chExt cx="685800" cy="685800"/>
        </a:xfrm>
      </xdr:grpSpPr>
      <xdr:sp macro="[0]!POS_LoadSubCategory" textlink="Admin!F4">
        <xdr:nvSpPr>
          <xdr:cNvPr id="424" name="Category3">
            <a:extLst>
              <a:ext uri="{FF2B5EF4-FFF2-40B4-BE49-F238E27FC236}">
                <a16:creationId xmlns:a16="http://schemas.microsoft.com/office/drawing/2014/main" id="{00000000-0008-0000-0100-0000A8010000}"/>
              </a:ext>
            </a:extLst>
          </xdr:cNvPr>
          <xdr:cNvSpPr/>
        </xdr:nvSpPr>
        <xdr:spPr>
          <a:xfrm>
            <a:off x="12386310" y="690561"/>
            <a:ext cx="685800" cy="685800"/>
          </a:xfrm>
          <a:prstGeom prst="rect">
            <a:avLst/>
          </a:prstGeom>
        </xdr:spPr>
        <xdr:style>
          <a:lnRef idx="1">
            <a:schemeClr val="accent1"/>
          </a:lnRef>
          <a:fillRef idx="1001">
            <a:schemeClr val="dk2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18288" rtlCol="0" anchor="b"/>
          <a:lstStyle/>
          <a:p>
            <a:pPr algn="ctr"/>
            <a:fld id="{C973A283-CD22-45F2-A125-2F4CE5451A34}" type="TxLink">
              <a:rPr lang="en-US" sz="1000" b="0" i="0" u="none" strike="noStrike">
                <a:solidFill>
                  <a:srgbClr val="FFFFFF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Meats &amp; Seafood</a:t>
            </a:fld>
            <a:endParaRPr lang="en-US" sz="10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 macro="[0]!POS_LoadSubCategory">
        <xdr:nvPicPr>
          <xdr:cNvPr id="81" name="CatIcon3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25275" y="707175"/>
            <a:ext cx="189738" cy="292608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0</xdr:colOff>
      <xdr:row>7</xdr:row>
      <xdr:rowOff>12700</xdr:rowOff>
    </xdr:from>
    <xdr:to>
      <xdr:col>14</xdr:col>
      <xdr:colOff>218655</xdr:colOff>
      <xdr:row>7</xdr:row>
      <xdr:rowOff>195580</xdr:rowOff>
    </xdr:to>
    <xdr:grpSp>
      <xdr:nvGrpSpPr>
        <xdr:cNvPr id="1032" name="SelItemGrp" hidden="1">
          <a:extLst>
            <a:ext uri="{FF2B5EF4-FFF2-40B4-BE49-F238E27FC236}">
              <a16:creationId xmlns:a16="http://schemas.microsoft.com/office/drawing/2014/main" id="{00000000-0008-0000-0100-000008040000}"/>
            </a:ext>
          </a:extLst>
        </xdr:cNvPr>
        <xdr:cNvGrpSpPr/>
      </xdr:nvGrpSpPr>
      <xdr:grpSpPr>
        <a:xfrm>
          <a:off x="4792980" y="2256790"/>
          <a:ext cx="3133305" cy="182880"/>
          <a:chOff x="7157850" y="2279887"/>
          <a:chExt cx="2923755" cy="182880"/>
        </a:xfrm>
      </xdr:grpSpPr>
      <xdr:pic macro="[0]!Order_ItemRemove">
        <xdr:nvPicPr>
          <xdr:cNvPr id="82" name="Picture 81" hidden="1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8725" y="2279887"/>
            <a:ext cx="182880" cy="182880"/>
          </a:xfrm>
          <a:prstGeom prst="rect">
            <a:avLst/>
          </a:prstGeom>
        </xdr:spPr>
      </xdr:pic>
      <xdr:pic macro="[0]!Order_ItemIncreaseQty">
        <xdr:nvPicPr>
          <xdr:cNvPr id="84" name="Picture 83" hidden="1">
            <a:extLst>
              <a:ext uri="{FF2B5EF4-FFF2-40B4-BE49-F238E27FC236}">
                <a16:creationId xmlns:a16="http://schemas.microsoft.com/office/drawing/2014/main" id="{00000000-0008-0000-0100-00005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65075" y="2279887"/>
            <a:ext cx="182880" cy="182880"/>
          </a:xfrm>
          <a:prstGeom prst="rect">
            <a:avLst/>
          </a:prstGeom>
        </xdr:spPr>
      </xdr:pic>
      <xdr:pic macro="[0]!Order_ItemDecreaseQty">
        <xdr:nvPicPr>
          <xdr:cNvPr id="86" name="Picture 85" hidden="1">
            <a:extLst>
              <a:ext uri="{FF2B5EF4-FFF2-40B4-BE49-F238E27FC236}">
                <a16:creationId xmlns:a16="http://schemas.microsoft.com/office/drawing/2014/main" id="{00000000-0008-0000-0100-00005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57850" y="2279887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107565</xdr:colOff>
      <xdr:row>0</xdr:row>
      <xdr:rowOff>19050</xdr:rowOff>
    </xdr:from>
    <xdr:to>
      <xdr:col>22</xdr:col>
      <xdr:colOff>690768</xdr:colOff>
      <xdr:row>0</xdr:row>
      <xdr:rowOff>543264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172585" y="19050"/>
          <a:ext cx="11475993" cy="524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800">
              <a:solidFill>
                <a:schemeClr val="accent1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Point of Sale System (Findlay's Groceries)</a:t>
          </a:r>
        </a:p>
      </xdr:txBody>
    </xdr:sp>
    <xdr:clientData/>
  </xdr:twoCellAnchor>
  <xdr:twoCellAnchor editAs="oneCell">
    <xdr:from>
      <xdr:col>9</xdr:col>
      <xdr:colOff>1123650</xdr:colOff>
      <xdr:row>2</xdr:row>
      <xdr:rowOff>18750</xdr:rowOff>
    </xdr:from>
    <xdr:to>
      <xdr:col>9</xdr:col>
      <xdr:colOff>1353146</xdr:colOff>
      <xdr:row>2</xdr:row>
      <xdr:rowOff>201630</xdr:rowOff>
    </xdr:to>
    <xdr:pic>
      <xdr:nvPicPr>
        <xdr:cNvPr id="92" name="Picture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5800" y="1123650"/>
          <a:ext cx="229496" cy="182880"/>
        </a:xfrm>
        <a:prstGeom prst="rect">
          <a:avLst/>
        </a:prstGeom>
      </xdr:spPr>
    </xdr:pic>
    <xdr:clientData/>
  </xdr:twoCellAnchor>
  <xdr:twoCellAnchor editAs="oneCell">
    <xdr:from>
      <xdr:col>8</xdr:col>
      <xdr:colOff>740250</xdr:colOff>
      <xdr:row>2</xdr:row>
      <xdr:rowOff>25875</xdr:rowOff>
    </xdr:from>
    <xdr:to>
      <xdr:col>8</xdr:col>
      <xdr:colOff>923130</xdr:colOff>
      <xdr:row>2</xdr:row>
      <xdr:rowOff>208755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9900" y="1130775"/>
          <a:ext cx="182880" cy="182880"/>
        </a:xfrm>
        <a:prstGeom prst="rect">
          <a:avLst/>
        </a:prstGeom>
      </xdr:spPr>
    </xdr:pic>
    <xdr:clientData/>
  </xdr:twoCellAnchor>
  <xdr:twoCellAnchor editAs="oneCell">
    <xdr:from>
      <xdr:col>13</xdr:col>
      <xdr:colOff>514350</xdr:colOff>
      <xdr:row>1</xdr:row>
      <xdr:rowOff>200025</xdr:rowOff>
    </xdr:from>
    <xdr:to>
      <xdr:col>15</xdr:col>
      <xdr:colOff>217170</xdr:colOff>
      <xdr:row>1</xdr:row>
      <xdr:rowOff>428625</xdr:rowOff>
    </xdr:to>
    <xdr:grpSp>
      <xdr:nvGrpSpPr>
        <xdr:cNvPr id="1125" name="LoginBtn" hidden="1">
          <a:extLst>
            <a:ext uri="{FF2B5EF4-FFF2-40B4-BE49-F238E27FC236}">
              <a16:creationId xmlns:a16="http://schemas.microsoft.com/office/drawing/2014/main" id="{00000000-0008-0000-0100-000065040000}"/>
            </a:ext>
          </a:extLst>
        </xdr:cNvPr>
        <xdr:cNvGrpSpPr/>
      </xdr:nvGrpSpPr>
      <xdr:grpSpPr>
        <a:xfrm>
          <a:off x="7486650" y="760095"/>
          <a:ext cx="819150" cy="228600"/>
          <a:chOff x="9686925" y="514350"/>
          <a:chExt cx="731520" cy="228600"/>
        </a:xfrm>
      </xdr:grpSpPr>
      <xdr:sp macro="[0]!User_Login" textlink="">
        <xdr:nvSpPr>
          <xdr:cNvPr id="475" name="Rectangle 474" hidden="1">
            <a:extLst>
              <a:ext uri="{FF2B5EF4-FFF2-40B4-BE49-F238E27FC236}">
                <a16:creationId xmlns:a16="http://schemas.microsoft.com/office/drawing/2014/main" id="{00000000-0008-0000-0100-0000DB010000}"/>
              </a:ext>
            </a:extLst>
          </xdr:cNvPr>
          <xdr:cNvSpPr/>
        </xdr:nvSpPr>
        <xdr:spPr>
          <a:xfrm>
            <a:off x="9686925" y="514350"/>
            <a:ext cx="731520" cy="228600"/>
          </a:xfrm>
          <a:prstGeom prst="rect">
            <a:avLst/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0"/>
              <a:t>Login</a:t>
            </a:r>
          </a:p>
        </xdr:txBody>
      </xdr:sp>
      <xdr:pic macro="[0]!User_Login">
        <xdr:nvPicPr>
          <xdr:cNvPr id="94" name="Picture 93" hidden="1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67550" y="537825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0</xdr:colOff>
      <xdr:row>8</xdr:row>
      <xdr:rowOff>203200</xdr:rowOff>
    </xdr:from>
    <xdr:to>
      <xdr:col>15</xdr:col>
      <xdr:colOff>0</xdr:colOff>
      <xdr:row>15</xdr:row>
      <xdr:rowOff>121285</xdr:rowOff>
    </xdr:to>
    <xdr:grpSp>
      <xdr:nvGrpSpPr>
        <xdr:cNvPr id="1121" name="FooterGrp">
          <a:extLst>
            <a:ext uri="{FF2B5EF4-FFF2-40B4-BE49-F238E27FC236}">
              <a16:creationId xmlns:a16="http://schemas.microsoft.com/office/drawing/2014/main" id="{00000000-0008-0000-0100-000061040000}"/>
            </a:ext>
          </a:extLst>
        </xdr:cNvPr>
        <xdr:cNvGrpSpPr/>
      </xdr:nvGrpSpPr>
      <xdr:grpSpPr>
        <a:xfrm>
          <a:off x="2240280" y="2675890"/>
          <a:ext cx="5848350" cy="1518285"/>
          <a:chOff x="4810125" y="3409950"/>
          <a:chExt cx="5429250" cy="151828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/>
        </xdr:nvSpPr>
        <xdr:spPr>
          <a:xfrm>
            <a:off x="4819650" y="3409950"/>
            <a:ext cx="5419725" cy="1143000"/>
          </a:xfrm>
          <a:prstGeom prst="rect">
            <a:avLst/>
          </a:prstGeom>
          <a:solidFill>
            <a:schemeClr val="bg1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 txBox="1"/>
        </xdr:nvSpPr>
        <xdr:spPr>
          <a:xfrm>
            <a:off x="8543924" y="3419475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>
                <a:latin typeface="Segoe UI" panose="020B0502040204020203" pitchFamily="34" charset="0"/>
                <a:cs typeface="Segoe UI" panose="020B0502040204020203" pitchFamily="34" charset="0"/>
              </a:rPr>
              <a:t>Sub-Total:</a:t>
            </a:r>
          </a:p>
        </xdr:txBody>
      </xdr:sp>
      <xdr:sp macro="" textlink="$A$14">
        <xdr:nvSpPr>
          <xdr:cNvPr id="442" name="TextBox 441">
            <a:extLst>
              <a:ext uri="{FF2B5EF4-FFF2-40B4-BE49-F238E27FC236}">
                <a16:creationId xmlns:a16="http://schemas.microsoft.com/office/drawing/2014/main" id="{00000000-0008-0000-0100-0000BA010000}"/>
              </a:ext>
            </a:extLst>
          </xdr:cNvPr>
          <xdr:cNvSpPr txBox="1"/>
        </xdr:nvSpPr>
        <xdr:spPr>
          <a:xfrm>
            <a:off x="8543924" y="36385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144D164F-808F-4F81-B4EE-D2332D64D687}" type="TxLink">
              <a:rPr lang="en-US" sz="11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r"/>
              <a:t>Tax(20.00%):</a:t>
            </a:fld>
            <a:endParaRPr lang="en-US" sz="11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$B$13">
        <xdr:nvSpPr>
          <xdr:cNvPr id="443" name="TextBox 442">
            <a:extLst>
              <a:ext uri="{FF2B5EF4-FFF2-40B4-BE49-F238E27FC236}">
                <a16:creationId xmlns:a16="http://schemas.microsoft.com/office/drawing/2014/main" id="{00000000-0008-0000-0100-0000BB010000}"/>
              </a:ext>
            </a:extLst>
          </xdr:cNvPr>
          <xdr:cNvSpPr txBox="1"/>
        </xdr:nvSpPr>
        <xdr:spPr>
          <a:xfrm>
            <a:off x="9458324" y="3419475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3C0F0FDF-0CB4-4BA1-ADF9-44D49680CA26}" type="TxLink">
              <a:rPr lang="en-US" sz="11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r"/>
              <a:t> £6.70 </a:t>
            </a:fld>
            <a:endParaRPr lang="en-US" sz="11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$B$14">
        <xdr:nvSpPr>
          <xdr:cNvPr id="444" name="TextBox 443">
            <a:extLst>
              <a:ext uri="{FF2B5EF4-FFF2-40B4-BE49-F238E27FC236}">
                <a16:creationId xmlns:a16="http://schemas.microsoft.com/office/drawing/2014/main" id="{00000000-0008-0000-0100-0000BC010000}"/>
              </a:ext>
            </a:extLst>
          </xdr:cNvPr>
          <xdr:cNvSpPr txBox="1"/>
        </xdr:nvSpPr>
        <xdr:spPr>
          <a:xfrm>
            <a:off x="9458324" y="3638550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7C9BF381-64B2-4296-8524-B6851C4F7B03}" type="TxLink">
              <a:rPr lang="en-US" sz="11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r"/>
              <a:t> £1.34 </a:t>
            </a:fld>
            <a:endParaRPr lang="en-US" sz="11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445" name="TextBox 444">
            <a:extLst>
              <a:ext uri="{FF2B5EF4-FFF2-40B4-BE49-F238E27FC236}">
                <a16:creationId xmlns:a16="http://schemas.microsoft.com/office/drawing/2014/main" id="{00000000-0008-0000-0100-0000BD010000}"/>
              </a:ext>
            </a:extLst>
          </xdr:cNvPr>
          <xdr:cNvSpPr txBox="1"/>
        </xdr:nvSpPr>
        <xdr:spPr>
          <a:xfrm>
            <a:off x="8543924" y="38671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 b="1" u="sng">
                <a:latin typeface="Segoe UI" panose="020B0502040204020203" pitchFamily="34" charset="0"/>
                <a:cs typeface="Segoe UI" panose="020B0502040204020203" pitchFamily="34" charset="0"/>
              </a:rPr>
              <a:t>Total:</a:t>
            </a:r>
          </a:p>
        </xdr:txBody>
      </xdr:sp>
      <xdr:sp macro="" textlink="$B$15">
        <xdr:nvSpPr>
          <xdr:cNvPr id="446" name="TextBox 445">
            <a:extLst>
              <a:ext uri="{FF2B5EF4-FFF2-40B4-BE49-F238E27FC236}">
                <a16:creationId xmlns:a16="http://schemas.microsoft.com/office/drawing/2014/main" id="{00000000-0008-0000-0100-0000BE010000}"/>
              </a:ext>
            </a:extLst>
          </xdr:cNvPr>
          <xdr:cNvSpPr txBox="1"/>
        </xdr:nvSpPr>
        <xdr:spPr>
          <a:xfrm>
            <a:off x="9458324" y="3867150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E37C8B0D-30CB-4D5B-974F-0A1F0C9B79B0}" type="TxLink">
              <a:rPr lang="en-US" sz="1100" b="1" i="0" u="sng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r"/>
              <a:t> £8.04 </a:t>
            </a:fld>
            <a:endParaRPr lang="en-US" sz="1100" b="1" u="sng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$B$16">
        <xdr:nvSpPr>
          <xdr:cNvPr id="447" name="TextBox 446">
            <a:extLst>
              <a:ext uri="{FF2B5EF4-FFF2-40B4-BE49-F238E27FC236}">
                <a16:creationId xmlns:a16="http://schemas.microsoft.com/office/drawing/2014/main" id="{00000000-0008-0000-0100-0000BF010000}"/>
              </a:ext>
            </a:extLst>
          </xdr:cNvPr>
          <xdr:cNvSpPr txBox="1"/>
        </xdr:nvSpPr>
        <xdr:spPr>
          <a:xfrm>
            <a:off x="9458324" y="4095750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57D45DD0-E509-42FC-BB59-BF1EC16A6F27}" type="TxLink">
              <a:rPr lang="en-US" sz="11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r"/>
              <a:t> </a:t>
            </a:fld>
            <a:endParaRPr lang="en-US" sz="11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$B$17">
        <xdr:nvSpPr>
          <xdr:cNvPr id="448" name="TextBox 447">
            <a:extLst>
              <a:ext uri="{FF2B5EF4-FFF2-40B4-BE49-F238E27FC236}">
                <a16:creationId xmlns:a16="http://schemas.microsoft.com/office/drawing/2014/main" id="{00000000-0008-0000-0100-0000C0010000}"/>
              </a:ext>
            </a:extLst>
          </xdr:cNvPr>
          <xdr:cNvSpPr txBox="1"/>
        </xdr:nvSpPr>
        <xdr:spPr>
          <a:xfrm>
            <a:off x="9458324" y="4324350"/>
            <a:ext cx="77724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fld id="{417A14C4-FB9F-4623-9DE3-9EFC248C0E33}" type="TxLink">
              <a:rPr lang="en-US" sz="11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r"/>
              <a:t> </a:t>
            </a:fld>
            <a:endParaRPr lang="en-US" sz="11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449" name="TextBox 448">
            <a:extLst>
              <a:ext uri="{FF2B5EF4-FFF2-40B4-BE49-F238E27FC236}">
                <a16:creationId xmlns:a16="http://schemas.microsoft.com/office/drawing/2014/main" id="{00000000-0008-0000-0100-0000C1010000}"/>
              </a:ext>
            </a:extLst>
          </xdr:cNvPr>
          <xdr:cNvSpPr txBox="1"/>
        </xdr:nvSpPr>
        <xdr:spPr>
          <a:xfrm>
            <a:off x="8543924" y="40957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>
                <a:latin typeface="Segoe UI" panose="020B0502040204020203" pitchFamily="34" charset="0"/>
                <a:cs typeface="Segoe UI" panose="020B0502040204020203" pitchFamily="34" charset="0"/>
              </a:rPr>
              <a:t>Total</a:t>
            </a:r>
            <a:r>
              <a:rPr lang="en-US" sz="1100" baseline="0">
                <a:latin typeface="Segoe UI" panose="020B0502040204020203" pitchFamily="34" charset="0"/>
                <a:cs typeface="Segoe UI" panose="020B0502040204020203" pitchFamily="34" charset="0"/>
              </a:rPr>
              <a:t> Paid:</a:t>
            </a:r>
            <a:endParaRPr lang="en-US" sz="11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450" name="TextBox 449">
            <a:extLst>
              <a:ext uri="{FF2B5EF4-FFF2-40B4-BE49-F238E27FC236}">
                <a16:creationId xmlns:a16="http://schemas.microsoft.com/office/drawing/2014/main" id="{00000000-0008-0000-0100-0000C2010000}"/>
              </a:ext>
            </a:extLst>
          </xdr:cNvPr>
          <xdr:cNvSpPr txBox="1"/>
        </xdr:nvSpPr>
        <xdr:spPr>
          <a:xfrm>
            <a:off x="8543924" y="43243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>
                <a:latin typeface="Segoe UI" panose="020B0502040204020203" pitchFamily="34" charset="0"/>
                <a:cs typeface="Segoe UI" panose="020B0502040204020203" pitchFamily="34" charset="0"/>
              </a:rPr>
              <a:t>Change:</a:t>
            </a:r>
          </a:p>
        </xdr:txBody>
      </xdr:sp>
      <xdr:sp macro="" textlink="FooterMsg">
        <xdr:nvSpPr>
          <xdr:cNvPr id="451" name="TextBox 450">
            <a:extLst>
              <a:ext uri="{FF2B5EF4-FFF2-40B4-BE49-F238E27FC236}">
                <a16:creationId xmlns:a16="http://schemas.microsoft.com/office/drawing/2014/main" id="{00000000-0008-0000-0100-0000C3010000}"/>
              </a:ext>
            </a:extLst>
          </xdr:cNvPr>
          <xdr:cNvSpPr txBox="1"/>
        </xdr:nvSpPr>
        <xdr:spPr>
          <a:xfrm>
            <a:off x="4829175" y="3419475"/>
            <a:ext cx="37338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l"/>
            <a:fld id="{40C393DF-9D1E-4383-BFEA-CC1E905E735A}" type="TxLink">
              <a:rPr lang="en-US" sz="1100" b="1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l"/>
              <a:t>Thank you for shopping at Findlay's Groceries</a:t>
            </a:fld>
            <a:endParaRPr lang="en-US" sz="1100" b="1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452" name="TextBox 451">
            <a:extLst>
              <a:ext uri="{FF2B5EF4-FFF2-40B4-BE49-F238E27FC236}">
                <a16:creationId xmlns:a16="http://schemas.microsoft.com/office/drawing/2014/main" id="{00000000-0008-0000-0100-0000C4010000}"/>
              </a:ext>
            </a:extLst>
          </xdr:cNvPr>
          <xdr:cNvSpPr txBox="1"/>
        </xdr:nvSpPr>
        <xdr:spPr>
          <a:xfrm>
            <a:off x="4829175" y="3638550"/>
            <a:ext cx="1600199" cy="9143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t"/>
          <a:lstStyle/>
          <a:p>
            <a:pPr algn="l"/>
            <a:r>
              <a:rPr lang="en-US" sz="105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Findlay's Groceries</a:t>
            </a:r>
            <a:br>
              <a:rPr lang="en-US" sz="105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</a:br>
            <a:r>
              <a:rPr lang="en-US" sz="105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12345 Food St.</a:t>
            </a:r>
          </a:p>
          <a:p>
            <a:pPr algn="l"/>
            <a:r>
              <a:rPr lang="en-US" sz="105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Anytown,</a:t>
            </a:r>
            <a:r>
              <a:rPr lang="en-US" sz="1050" b="0" i="0" u="none" strike="noStrike" baseline="0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IV3 3AT</a:t>
            </a:r>
          </a:p>
          <a:p>
            <a:pPr algn="l"/>
            <a:r>
              <a:rPr lang="en-US" sz="1050" b="0" i="0" u="none" strike="noStrike" baseline="0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</a:t>
            </a:r>
          </a:p>
          <a:p>
            <a:pPr algn="l"/>
            <a:r>
              <a:rPr lang="en-US" sz="1050" b="0" i="0" u="none" strike="noStrike" baseline="0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lettuceknow@findlays.com</a:t>
            </a:r>
          </a:p>
        </xdr:txBody>
      </xdr:sp>
      <xdr:sp macro="" textlink="">
        <xdr:nvSpPr>
          <xdr:cNvPr id="453" name="TextBox 452">
            <a:extLst>
              <a:ext uri="{FF2B5EF4-FFF2-40B4-BE49-F238E27FC236}">
                <a16:creationId xmlns:a16="http://schemas.microsoft.com/office/drawing/2014/main" id="{00000000-0008-0000-0100-0000C5010000}"/>
              </a:ext>
            </a:extLst>
          </xdr:cNvPr>
          <xdr:cNvSpPr txBox="1"/>
        </xdr:nvSpPr>
        <xdr:spPr>
          <a:xfrm>
            <a:off x="6410324" y="36385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Receipt #:</a:t>
            </a:r>
          </a:p>
        </xdr:txBody>
      </xdr:sp>
      <xdr:sp macro="" textlink="">
        <xdr:nvSpPr>
          <xdr:cNvPr id="454" name="TextBox 453">
            <a:extLst>
              <a:ext uri="{FF2B5EF4-FFF2-40B4-BE49-F238E27FC236}">
                <a16:creationId xmlns:a16="http://schemas.microsoft.com/office/drawing/2014/main" id="{00000000-0008-0000-0100-0000C6010000}"/>
              </a:ext>
            </a:extLst>
          </xdr:cNvPr>
          <xdr:cNvSpPr txBox="1"/>
        </xdr:nvSpPr>
        <xdr:spPr>
          <a:xfrm>
            <a:off x="6410324" y="38671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Order On:</a:t>
            </a:r>
          </a:p>
        </xdr:txBody>
      </xdr:sp>
      <xdr:sp macro="" textlink="">
        <xdr:nvSpPr>
          <xdr:cNvPr id="455" name="TextBox 454">
            <a:extLst>
              <a:ext uri="{FF2B5EF4-FFF2-40B4-BE49-F238E27FC236}">
                <a16:creationId xmlns:a16="http://schemas.microsoft.com/office/drawing/2014/main" id="{00000000-0008-0000-0100-0000C7010000}"/>
              </a:ext>
            </a:extLst>
          </xdr:cNvPr>
          <xdr:cNvSpPr txBox="1"/>
        </xdr:nvSpPr>
        <xdr:spPr>
          <a:xfrm>
            <a:off x="6410324" y="4095750"/>
            <a:ext cx="914400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r"/>
            <a:r>
              <a:rPr lang="en-US" sz="11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Cashier:</a:t>
            </a:r>
          </a:p>
        </xdr:txBody>
      </xdr:sp>
      <xdr:sp macro="" textlink="$P$4">
        <xdr:nvSpPr>
          <xdr:cNvPr id="456" name="TextBox 455">
            <a:extLst>
              <a:ext uri="{FF2B5EF4-FFF2-40B4-BE49-F238E27FC236}">
                <a16:creationId xmlns:a16="http://schemas.microsoft.com/office/drawing/2014/main" id="{00000000-0008-0000-0100-0000C8010000}"/>
              </a:ext>
            </a:extLst>
          </xdr:cNvPr>
          <xdr:cNvSpPr txBox="1"/>
        </xdr:nvSpPr>
        <xdr:spPr>
          <a:xfrm>
            <a:off x="6410323" y="4324350"/>
            <a:ext cx="2133601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ctr"/>
            <a:fld id="{B95C4A47-CDA1-4698-A444-9F17FAF693D2}" type="TxLink">
              <a:rPr lang="en-US" sz="14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ctr"/>
              <a:t>10011</a:t>
            </a:fld>
            <a:endParaRPr lang="en-US" sz="1400" b="0" i="0" u="none" strike="noStrike">
              <a:solidFill>
                <a:srgbClr val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$P$4">
        <xdr:nvSpPr>
          <xdr:cNvPr id="457" name="TextBox 456">
            <a:extLst>
              <a:ext uri="{FF2B5EF4-FFF2-40B4-BE49-F238E27FC236}">
                <a16:creationId xmlns:a16="http://schemas.microsoft.com/office/drawing/2014/main" id="{00000000-0008-0000-0100-0000C9010000}"/>
              </a:ext>
            </a:extLst>
          </xdr:cNvPr>
          <xdr:cNvSpPr txBox="1"/>
        </xdr:nvSpPr>
        <xdr:spPr>
          <a:xfrm>
            <a:off x="7324723" y="3638550"/>
            <a:ext cx="1219201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l"/>
            <a:fld id="{BD487BF1-B379-4C8F-BF33-5F609E311311}" type="TxLink">
              <a:rPr lang="en-US" sz="11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l"/>
              <a:t>10011</a:t>
            </a:fld>
            <a:endParaRPr lang="en-US" sz="11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$L$4">
        <xdr:nvSpPr>
          <xdr:cNvPr id="458" name="TextBox 457">
            <a:extLst>
              <a:ext uri="{FF2B5EF4-FFF2-40B4-BE49-F238E27FC236}">
                <a16:creationId xmlns:a16="http://schemas.microsoft.com/office/drawing/2014/main" id="{00000000-0008-0000-0100-0000CA010000}"/>
              </a:ext>
            </a:extLst>
          </xdr:cNvPr>
          <xdr:cNvSpPr txBox="1"/>
        </xdr:nvSpPr>
        <xdr:spPr>
          <a:xfrm>
            <a:off x="7324723" y="3867150"/>
            <a:ext cx="1219201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l"/>
            <a:fld id="{7D009322-0A9A-4CF1-8449-13286B4C033D}" type="TxLink">
              <a:rPr lang="en-US" sz="11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pPr algn="l"/>
              <a:t>7/11/21 7:57 AM</a:t>
            </a:fld>
            <a:endParaRPr lang="en-US" sz="11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$L$3">
        <xdr:nvSpPr>
          <xdr:cNvPr id="459" name="TextBox 458">
            <a:extLst>
              <a:ext uri="{FF2B5EF4-FFF2-40B4-BE49-F238E27FC236}">
                <a16:creationId xmlns:a16="http://schemas.microsoft.com/office/drawing/2014/main" id="{00000000-0008-0000-0100-0000CB010000}"/>
              </a:ext>
            </a:extLst>
          </xdr:cNvPr>
          <xdr:cNvSpPr txBox="1"/>
        </xdr:nvSpPr>
        <xdr:spPr>
          <a:xfrm>
            <a:off x="7324723" y="4095750"/>
            <a:ext cx="1219201" cy="2286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18288" tIns="0" rIns="18288" bIns="0" rtlCol="0" anchor="ctr"/>
          <a:lstStyle/>
          <a:p>
            <a:pPr algn="l"/>
            <a:r>
              <a:rPr lang="en-US" sz="1100" b="0" i="0" u="none" strike="noStrike">
                <a:solidFill>
                  <a:srgbClr val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Myles Findlay</a:t>
            </a:r>
            <a:endParaRPr lang="en-US" sz="11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grpSp>
        <xdr:nvGrpSpPr>
          <xdr:cNvPr id="1052" name="Group 1051">
            <a:extLst>
              <a:ext uri="{FF2B5EF4-FFF2-40B4-BE49-F238E27FC236}">
                <a16:creationId xmlns:a16="http://schemas.microsoft.com/office/drawing/2014/main" id="{00000000-0008-0000-0100-00001C040000}"/>
              </a:ext>
            </a:extLst>
          </xdr:cNvPr>
          <xdr:cNvGrpSpPr/>
        </xdr:nvGrpSpPr>
        <xdr:grpSpPr>
          <a:xfrm>
            <a:off x="5687567" y="4562475"/>
            <a:ext cx="777240" cy="365760"/>
            <a:chOff x="5687567" y="4562475"/>
            <a:chExt cx="777240" cy="365760"/>
          </a:xfrm>
        </xdr:grpSpPr>
        <xdr:sp macro="[0]!Order_Pay" textlink="">
          <xdr:nvSpPr>
            <xdr:cNvPr id="468" name="Rectangle 467">
              <a:extLst>
                <a:ext uri="{FF2B5EF4-FFF2-40B4-BE49-F238E27FC236}">
                  <a16:creationId xmlns:a16="http://schemas.microsoft.com/office/drawing/2014/main" id="{00000000-0008-0000-0100-0000D4010000}"/>
                </a:ext>
              </a:extLst>
            </xdr:cNvPr>
            <xdr:cNvSpPr/>
          </xdr:nvSpPr>
          <xdr:spPr>
            <a:xfrm>
              <a:off x="5687567" y="4562475"/>
              <a:ext cx="777240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Segoe UI" panose="020B0502040204020203" pitchFamily="34" charset="0"/>
                  <a:cs typeface="Segoe UI" panose="020B0502040204020203" pitchFamily="34" charset="0"/>
                </a:rPr>
                <a:t>Pay</a:t>
              </a:r>
            </a:p>
          </xdr:txBody>
        </xdr:sp>
        <xdr:pic macro="[0]!Order_Pay">
          <xdr:nvPicPr>
            <xdr:cNvPr id="83" name="Picture 82">
              <a:extLst>
                <a:ext uri="{FF2B5EF4-FFF2-40B4-BE49-F238E27FC236}">
                  <a16:creationId xmlns:a16="http://schemas.microsoft.com/office/drawing/2014/main" id="{00000000-0008-0000-0100-00005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772000" y="4649175"/>
              <a:ext cx="201168" cy="201168"/>
            </a:xfrm>
            <a:prstGeom prst="rect">
              <a:avLst/>
            </a:prstGeom>
          </xdr:spPr>
        </xdr:pic>
      </xdr:grpSp>
      <xdr:grpSp>
        <xdr:nvGrpSpPr>
          <xdr:cNvPr id="1053" name="Group 1052">
            <a:extLst>
              <a:ext uri="{FF2B5EF4-FFF2-40B4-BE49-F238E27FC236}">
                <a16:creationId xmlns:a16="http://schemas.microsoft.com/office/drawing/2014/main" id="{00000000-0008-0000-0100-00001D040000}"/>
              </a:ext>
            </a:extLst>
          </xdr:cNvPr>
          <xdr:cNvGrpSpPr/>
        </xdr:nvGrpSpPr>
        <xdr:grpSpPr>
          <a:xfrm>
            <a:off x="6565009" y="4562475"/>
            <a:ext cx="777240" cy="365760"/>
            <a:chOff x="6565009" y="4562475"/>
            <a:chExt cx="777240" cy="365760"/>
          </a:xfrm>
        </xdr:grpSpPr>
        <xdr:sp macro="[0]!Order_Print" textlink="">
          <xdr:nvSpPr>
            <xdr:cNvPr id="469" name="Rectangle 468">
              <a:extLst>
                <a:ext uri="{FF2B5EF4-FFF2-40B4-BE49-F238E27FC236}">
                  <a16:creationId xmlns:a16="http://schemas.microsoft.com/office/drawing/2014/main" id="{00000000-0008-0000-0100-0000D5010000}"/>
                </a:ext>
              </a:extLst>
            </xdr:cNvPr>
            <xdr:cNvSpPr/>
          </xdr:nvSpPr>
          <xdr:spPr>
            <a:xfrm>
              <a:off x="6565009" y="4562475"/>
              <a:ext cx="777240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Segoe UI" panose="020B0502040204020203" pitchFamily="34" charset="0"/>
                  <a:cs typeface="Segoe UI" panose="020B0502040204020203" pitchFamily="34" charset="0"/>
                </a:rPr>
                <a:t>Print</a:t>
              </a:r>
            </a:p>
          </xdr:txBody>
        </xdr:sp>
        <xdr:pic macro="[0]!Order_Print">
          <xdr:nvPicPr>
            <xdr:cNvPr id="88" name="Picture 87">
              <a:extLst>
                <a:ext uri="{FF2B5EF4-FFF2-40B4-BE49-F238E27FC236}">
                  <a16:creationId xmlns:a16="http://schemas.microsoft.com/office/drawing/2014/main" id="{00000000-0008-0000-0100-00005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600600" y="4649175"/>
              <a:ext cx="201168" cy="201168"/>
            </a:xfrm>
            <a:prstGeom prst="rect">
              <a:avLst/>
            </a:prstGeom>
          </xdr:spPr>
        </xdr:pic>
      </xdr:grpSp>
      <xdr:grpSp>
        <xdr:nvGrpSpPr>
          <xdr:cNvPr id="1051" name="Group 1050">
            <a:extLst>
              <a:ext uri="{FF2B5EF4-FFF2-40B4-BE49-F238E27FC236}">
                <a16:creationId xmlns:a16="http://schemas.microsoft.com/office/drawing/2014/main" id="{00000000-0008-0000-0100-00001B040000}"/>
              </a:ext>
            </a:extLst>
          </xdr:cNvPr>
          <xdr:cNvGrpSpPr/>
        </xdr:nvGrpSpPr>
        <xdr:grpSpPr>
          <a:xfrm>
            <a:off x="4810125" y="4562475"/>
            <a:ext cx="777240" cy="365760"/>
            <a:chOff x="4810125" y="4562475"/>
            <a:chExt cx="777240" cy="365760"/>
          </a:xfrm>
        </xdr:grpSpPr>
        <xdr:sp macro="[0]!Order_Clear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0000000-0008-0000-0100-000044000000}"/>
                </a:ext>
              </a:extLst>
            </xdr:cNvPr>
            <xdr:cNvSpPr/>
          </xdr:nvSpPr>
          <xdr:spPr>
            <a:xfrm>
              <a:off x="4810125" y="4562475"/>
              <a:ext cx="777240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Segoe UI" panose="020B0502040204020203" pitchFamily="34" charset="0"/>
                  <a:cs typeface="Segoe UI" panose="020B0502040204020203" pitchFamily="34" charset="0"/>
                </a:rPr>
                <a:t>Clear</a:t>
              </a:r>
            </a:p>
          </xdr:txBody>
        </xdr:sp>
        <xdr:pic macro="[0]!Order_Clear">
          <xdr:nvPicPr>
            <xdr:cNvPr id="89" name="Picture 88">
              <a:extLst>
                <a:ext uri="{FF2B5EF4-FFF2-40B4-BE49-F238E27FC236}">
                  <a16:creationId xmlns:a16="http://schemas.microsoft.com/office/drawing/2014/main" id="{00000000-0008-0000-0100-00005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845600" y="4649175"/>
              <a:ext cx="176022" cy="201168"/>
            </a:xfrm>
            <a:prstGeom prst="rect">
              <a:avLst/>
            </a:prstGeom>
          </xdr:spPr>
        </xdr:pic>
      </xdr:grpSp>
      <xdr:grpSp>
        <xdr:nvGrpSpPr>
          <xdr:cNvPr id="1054" name="Group 1053">
            <a:extLst>
              <a:ext uri="{FF2B5EF4-FFF2-40B4-BE49-F238E27FC236}">
                <a16:creationId xmlns:a16="http://schemas.microsoft.com/office/drawing/2014/main" id="{00000000-0008-0000-0100-00001E040000}"/>
              </a:ext>
            </a:extLst>
          </xdr:cNvPr>
          <xdr:cNvGrpSpPr/>
        </xdr:nvGrpSpPr>
        <xdr:grpSpPr>
          <a:xfrm>
            <a:off x="7442451" y="4562475"/>
            <a:ext cx="1028701" cy="365760"/>
            <a:chOff x="7442451" y="4562475"/>
            <a:chExt cx="1028701" cy="365760"/>
          </a:xfrm>
        </xdr:grpSpPr>
        <xdr:sp macro="[0]!Order_Refund" textlink="">
          <xdr:nvSpPr>
            <xdr:cNvPr id="470" name="Rectangle 469">
              <a:extLst>
                <a:ext uri="{FF2B5EF4-FFF2-40B4-BE49-F238E27FC236}">
                  <a16:creationId xmlns:a16="http://schemas.microsoft.com/office/drawing/2014/main" id="{00000000-0008-0000-0100-0000D6010000}"/>
                </a:ext>
              </a:extLst>
            </xdr:cNvPr>
            <xdr:cNvSpPr/>
          </xdr:nvSpPr>
          <xdr:spPr>
            <a:xfrm>
              <a:off x="7442451" y="4562475"/>
              <a:ext cx="1028701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Segoe UI" panose="020B0502040204020203" pitchFamily="34" charset="0"/>
                  <a:cs typeface="Segoe UI" panose="020B0502040204020203" pitchFamily="34" charset="0"/>
                </a:rPr>
                <a:t>Refund</a:t>
              </a:r>
            </a:p>
          </xdr:txBody>
        </xdr:sp>
        <xdr:pic macro="[0]!Order_Refund">
          <xdr:nvPicPr>
            <xdr:cNvPr id="90" name="Picture 89">
              <a:extLst>
                <a:ext uri="{FF2B5EF4-FFF2-40B4-BE49-F238E27FC236}">
                  <a16:creationId xmlns:a16="http://schemas.microsoft.com/office/drawing/2014/main" id="{00000000-0008-0000-0100-00005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491150" y="4649175"/>
              <a:ext cx="201168" cy="201168"/>
            </a:xfrm>
            <a:prstGeom prst="rect">
              <a:avLst/>
            </a:prstGeom>
          </xdr:spPr>
        </xdr:pic>
      </xdr:grpSp>
      <xdr:grpSp>
        <xdr:nvGrpSpPr>
          <xdr:cNvPr id="1120" name="Group 1119">
            <a:extLst>
              <a:ext uri="{FF2B5EF4-FFF2-40B4-BE49-F238E27FC236}">
                <a16:creationId xmlns:a16="http://schemas.microsoft.com/office/drawing/2014/main" id="{00000000-0008-0000-0100-000060040000}"/>
              </a:ext>
            </a:extLst>
          </xdr:cNvPr>
          <xdr:cNvGrpSpPr/>
        </xdr:nvGrpSpPr>
        <xdr:grpSpPr>
          <a:xfrm>
            <a:off x="9448797" y="4562475"/>
            <a:ext cx="777240" cy="365760"/>
            <a:chOff x="9448797" y="4562475"/>
            <a:chExt cx="777240" cy="365760"/>
          </a:xfrm>
        </xdr:grpSpPr>
        <xdr:sp macro="[0]!Order_SaveUpdate" textlink="">
          <xdr:nvSpPr>
            <xdr:cNvPr id="472" name="Rectangle 471">
              <a:extLst>
                <a:ext uri="{FF2B5EF4-FFF2-40B4-BE49-F238E27FC236}">
                  <a16:creationId xmlns:a16="http://schemas.microsoft.com/office/drawing/2014/main" id="{00000000-0008-0000-0100-0000D8010000}"/>
                </a:ext>
              </a:extLst>
            </xdr:cNvPr>
            <xdr:cNvSpPr/>
          </xdr:nvSpPr>
          <xdr:spPr>
            <a:xfrm>
              <a:off x="9448797" y="4562475"/>
              <a:ext cx="777240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Segoe UI" panose="020B0502040204020203" pitchFamily="34" charset="0"/>
                  <a:cs typeface="Segoe UI" panose="020B0502040204020203" pitchFamily="34" charset="0"/>
                </a:rPr>
                <a:t>Next</a:t>
              </a:r>
            </a:p>
          </xdr:txBody>
        </xdr:sp>
        <xdr:pic macro="[0]!Order_SaveUpdate">
          <xdr:nvPicPr>
            <xdr:cNvPr id="91" name="Picture 90">
              <a:extLst>
                <a:ext uri="{FF2B5EF4-FFF2-40B4-BE49-F238E27FC236}">
                  <a16:creationId xmlns:a16="http://schemas.microsoft.com/office/drawing/2014/main" id="{00000000-0008-0000-0100-00005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508050" y="4649175"/>
              <a:ext cx="201168" cy="201168"/>
            </a:xfrm>
            <a:prstGeom prst="rect">
              <a:avLst/>
            </a:prstGeom>
          </xdr:spPr>
        </xdr:pic>
      </xdr:grpSp>
      <xdr:grpSp>
        <xdr:nvGrpSpPr>
          <xdr:cNvPr id="1055" name="Group 1054">
            <a:extLst>
              <a:ext uri="{FF2B5EF4-FFF2-40B4-BE49-F238E27FC236}">
                <a16:creationId xmlns:a16="http://schemas.microsoft.com/office/drawing/2014/main" id="{00000000-0008-0000-0100-00001F040000}"/>
              </a:ext>
            </a:extLst>
          </xdr:cNvPr>
          <xdr:cNvGrpSpPr/>
        </xdr:nvGrpSpPr>
        <xdr:grpSpPr>
          <a:xfrm>
            <a:off x="8571354" y="4562475"/>
            <a:ext cx="777240" cy="365760"/>
            <a:chOff x="8571354" y="4562475"/>
            <a:chExt cx="777240" cy="365760"/>
          </a:xfrm>
        </xdr:grpSpPr>
        <xdr:sp macro="[0]!Order_Void" textlink="">
          <xdr:nvSpPr>
            <xdr:cNvPr id="471" name="Rectangle 470">
              <a:extLst>
                <a:ext uri="{FF2B5EF4-FFF2-40B4-BE49-F238E27FC236}">
                  <a16:creationId xmlns:a16="http://schemas.microsoft.com/office/drawing/2014/main" id="{00000000-0008-0000-0100-0000D7010000}"/>
                </a:ext>
              </a:extLst>
            </xdr:cNvPr>
            <xdr:cNvSpPr/>
          </xdr:nvSpPr>
          <xdr:spPr>
            <a:xfrm>
              <a:off x="8571354" y="4562475"/>
              <a:ext cx="777240" cy="365760"/>
            </a:xfrm>
            <a:prstGeom prst="rect">
              <a:avLst/>
            </a:prstGeom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Segoe UI" panose="020B0502040204020203" pitchFamily="34" charset="0"/>
                  <a:cs typeface="Segoe UI" panose="020B0502040204020203" pitchFamily="34" charset="0"/>
                </a:rPr>
                <a:t>Void</a:t>
              </a:r>
            </a:p>
          </xdr:txBody>
        </xdr:sp>
        <xdr:pic macro="[0]!Order_Void">
          <xdr:nvPicPr>
            <xdr:cNvPr id="95" name="Picture 94">
              <a:extLst>
                <a:ext uri="{FF2B5EF4-FFF2-40B4-BE49-F238E27FC236}">
                  <a16:creationId xmlns:a16="http://schemas.microsoft.com/office/drawing/2014/main" id="{00000000-0008-0000-0100-00005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622150" y="4649175"/>
              <a:ext cx="201168" cy="201168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1123949</xdr:colOff>
      <xdr:row>1</xdr:row>
      <xdr:rowOff>161925</xdr:rowOff>
    </xdr:from>
    <xdr:to>
      <xdr:col>9</xdr:col>
      <xdr:colOff>171451</xdr:colOff>
      <xdr:row>1</xdr:row>
      <xdr:rowOff>504825</xdr:rowOff>
    </xdr:to>
    <xdr:grpSp>
      <xdr:nvGrpSpPr>
        <xdr:cNvPr id="1122" name="ClearResultBtn" hidden="1">
          <a:extLst>
            <a:ext uri="{FF2B5EF4-FFF2-40B4-BE49-F238E27FC236}">
              <a16:creationId xmlns:a16="http://schemas.microsoft.com/office/drawing/2014/main" id="{00000000-0008-0000-0100-000062040000}"/>
            </a:ext>
          </a:extLst>
        </xdr:cNvPr>
        <xdr:cNvGrpSpPr/>
      </xdr:nvGrpSpPr>
      <xdr:grpSpPr>
        <a:xfrm>
          <a:off x="2240280" y="721995"/>
          <a:ext cx="1203961" cy="342900"/>
          <a:chOff x="3190874" y="723900"/>
          <a:chExt cx="1123951" cy="342900"/>
        </a:xfrm>
      </xdr:grpSpPr>
      <xdr:sp macro="[0]!Orders_ClearFilter" textlink="">
        <xdr:nvSpPr>
          <xdr:cNvPr id="66" name="Right Arrow 65" hidden="1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3190874" y="723900"/>
            <a:ext cx="1123951" cy="342900"/>
          </a:xfrm>
          <a:prstGeom prst="rightArrow">
            <a:avLst>
              <a:gd name="adj1" fmla="val 66667"/>
              <a:gd name="adj2" fmla="val 50000"/>
            </a:avLst>
          </a:prstGeom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lIns="18288" tIns="0" rIns="18288" bIns="0" rtlCol="0" anchor="ctr"/>
          <a:lstStyle/>
          <a:p>
            <a:pPr algn="r"/>
            <a:r>
              <a:rPr lang="en-US" sz="1100"/>
              <a:t>Clear Results</a:t>
            </a:r>
          </a:p>
        </xdr:txBody>
      </xdr:sp>
      <xdr:pic macro="[0]!Orders_ClearFilter">
        <xdr:nvPicPr>
          <xdr:cNvPr id="496" name="Picture 495" hidden="1">
            <a:extLst>
              <a:ext uri="{FF2B5EF4-FFF2-40B4-BE49-F238E27FC236}">
                <a16:creationId xmlns:a16="http://schemas.microsoft.com/office/drawing/2014/main" id="{00000000-0008-0000-0100-0000F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45400" y="803910"/>
            <a:ext cx="160020" cy="18288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190500</xdr:colOff>
      <xdr:row>0</xdr:row>
      <xdr:rowOff>533398</xdr:rowOff>
    </xdr:from>
    <xdr:to>
      <xdr:col>0</xdr:col>
      <xdr:colOff>876300</xdr:colOff>
      <xdr:row>1</xdr:row>
      <xdr:rowOff>337183</xdr:rowOff>
    </xdr:to>
    <xdr:sp macro="" textlink="">
      <xdr:nvSpPr>
        <xdr:cNvPr id="516" name="SampleProdShp">
          <a:extLs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/>
      </xdr:nvSpPr>
      <xdr:spPr>
        <a:xfrm>
          <a:off x="190500" y="533398"/>
          <a:ext cx="685800" cy="365760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en-US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Sample</a:t>
          </a:r>
          <a:r>
            <a:rPr lang="en-US" sz="1100" b="0" i="0" u="none" strike="noStrike" baseline="0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 Product</a:t>
          </a:r>
          <a:endParaRPr lang="en-US" sz="1100" b="0" i="0" u="none" strike="noStrike">
            <a:solidFill>
              <a:schemeClr val="accent1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17</xdr:col>
      <xdr:colOff>0</xdr:colOff>
      <xdr:row>3</xdr:row>
      <xdr:rowOff>142875</xdr:rowOff>
    </xdr:from>
    <xdr:to>
      <xdr:col>17</xdr:col>
      <xdr:colOff>685800</xdr:colOff>
      <xdr:row>5</xdr:row>
      <xdr:rowOff>51435</xdr:rowOff>
    </xdr:to>
    <xdr:sp macro="[0]!POS_LoadProducts" textlink="">
      <xdr:nvSpPr>
        <xdr:cNvPr id="1135" name="Subcategory1">
          <a:extLst>
            <a:ext uri="{FF2B5EF4-FFF2-40B4-BE49-F238E27FC236}">
              <a16:creationId xmlns:a16="http://schemas.microsoft.com/office/drawing/2014/main" id="{00000000-0008-0000-0100-00006F040000}"/>
            </a:ext>
          </a:extLst>
        </xdr:cNvPr>
        <xdr:cNvSpPr/>
      </xdr:nvSpPr>
      <xdr:spPr>
        <a:xfrm>
          <a:off x="802957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000">
              <a:latin typeface="Segoe UI" panose="020B0502040204020203" pitchFamily="34" charset="0"/>
              <a:cs typeface="Segoe UI" panose="020B0502040204020203" pitchFamily="34" charset="0"/>
            </a:rPr>
            <a:t>Soda</a:t>
          </a:r>
        </a:p>
      </xdr:txBody>
    </xdr:sp>
    <xdr:clientData/>
  </xdr:twoCellAnchor>
  <xdr:twoCellAnchor>
    <xdr:from>
      <xdr:col>18</xdr:col>
      <xdr:colOff>0</xdr:colOff>
      <xdr:row>3</xdr:row>
      <xdr:rowOff>142875</xdr:rowOff>
    </xdr:from>
    <xdr:to>
      <xdr:col>18</xdr:col>
      <xdr:colOff>685800</xdr:colOff>
      <xdr:row>5</xdr:row>
      <xdr:rowOff>51435</xdr:rowOff>
    </xdr:to>
    <xdr:sp macro="[0]!POS_LoadProducts" textlink="">
      <xdr:nvSpPr>
        <xdr:cNvPr id="751" name="Subcategory2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SpPr/>
      </xdr:nvSpPr>
      <xdr:spPr>
        <a:xfrm>
          <a:off x="881062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>
              <a:latin typeface="Segoe UI" panose="020B0502040204020203" pitchFamily="34" charset="0"/>
              <a:cs typeface="Segoe UI" panose="020B0502040204020203" pitchFamily="34" charset="0"/>
            </a:rPr>
            <a:t>Wine</a:t>
          </a:r>
        </a:p>
      </xdr:txBody>
    </xdr:sp>
    <xdr:clientData/>
  </xdr:twoCellAnchor>
  <xdr:twoCellAnchor>
    <xdr:from>
      <xdr:col>19</xdr:col>
      <xdr:colOff>0</xdr:colOff>
      <xdr:row>3</xdr:row>
      <xdr:rowOff>142875</xdr:rowOff>
    </xdr:from>
    <xdr:to>
      <xdr:col>19</xdr:col>
      <xdr:colOff>685800</xdr:colOff>
      <xdr:row>5</xdr:row>
      <xdr:rowOff>51435</xdr:rowOff>
    </xdr:to>
    <xdr:sp macro="[0]!POS_LoadProducts" textlink="">
      <xdr:nvSpPr>
        <xdr:cNvPr id="752" name="Subcategory3">
          <a:extLst>
            <a:ext uri="{FF2B5EF4-FFF2-40B4-BE49-F238E27FC236}">
              <a16:creationId xmlns:a16="http://schemas.microsoft.com/office/drawing/2014/main" id="{00000000-0008-0000-0100-0000F0020000}"/>
            </a:ext>
          </a:extLst>
        </xdr:cNvPr>
        <xdr:cNvSpPr/>
      </xdr:nvSpPr>
      <xdr:spPr>
        <a:xfrm>
          <a:off x="959167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000">
              <a:latin typeface="Segoe UI" panose="020B0502040204020203" pitchFamily="34" charset="0"/>
              <a:cs typeface="Segoe UI" panose="020B0502040204020203" pitchFamily="34" charset="0"/>
            </a:rPr>
            <a:t>Beer</a:t>
          </a:r>
        </a:p>
      </xdr:txBody>
    </xdr:sp>
    <xdr:clientData/>
  </xdr:twoCellAnchor>
  <xdr:twoCellAnchor>
    <xdr:from>
      <xdr:col>20</xdr:col>
      <xdr:colOff>0</xdr:colOff>
      <xdr:row>3</xdr:row>
      <xdr:rowOff>142875</xdr:rowOff>
    </xdr:from>
    <xdr:to>
      <xdr:col>20</xdr:col>
      <xdr:colOff>685800</xdr:colOff>
      <xdr:row>5</xdr:row>
      <xdr:rowOff>51435</xdr:rowOff>
    </xdr:to>
    <xdr:sp macro="[0]!POS_LoadProducts" textlink="">
      <xdr:nvSpPr>
        <xdr:cNvPr id="753" name="Subcategory4">
          <a:extLst>
            <a:ext uri="{FF2B5EF4-FFF2-40B4-BE49-F238E27FC236}">
              <a16:creationId xmlns:a16="http://schemas.microsoft.com/office/drawing/2014/main" id="{00000000-0008-0000-0100-0000F1020000}"/>
            </a:ext>
          </a:extLst>
        </xdr:cNvPr>
        <xdr:cNvSpPr/>
      </xdr:nvSpPr>
      <xdr:spPr>
        <a:xfrm>
          <a:off x="1037272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000">
              <a:latin typeface="Segoe UI" panose="020B0502040204020203" pitchFamily="34" charset="0"/>
              <a:cs typeface="Segoe UI" panose="020B0502040204020203" pitchFamily="34" charset="0"/>
            </a:rPr>
            <a:t>Spirits</a:t>
          </a:r>
        </a:p>
      </xdr:txBody>
    </xdr:sp>
    <xdr:clientData/>
  </xdr:twoCellAnchor>
  <xdr:twoCellAnchor>
    <xdr:from>
      <xdr:col>21</xdr:col>
      <xdr:colOff>0</xdr:colOff>
      <xdr:row>3</xdr:row>
      <xdr:rowOff>142875</xdr:rowOff>
    </xdr:from>
    <xdr:to>
      <xdr:col>21</xdr:col>
      <xdr:colOff>685800</xdr:colOff>
      <xdr:row>5</xdr:row>
      <xdr:rowOff>51435</xdr:rowOff>
    </xdr:to>
    <xdr:sp macro="[0]!POS_LoadProducts" textlink="">
      <xdr:nvSpPr>
        <xdr:cNvPr id="754" name="Subcategory5">
          <a:extLst>
            <a:ext uri="{FF2B5EF4-FFF2-40B4-BE49-F238E27FC236}">
              <a16:creationId xmlns:a16="http://schemas.microsoft.com/office/drawing/2014/main" id="{00000000-0008-0000-0100-0000F2020000}"/>
            </a:ext>
          </a:extLst>
        </xdr:cNvPr>
        <xdr:cNvSpPr/>
      </xdr:nvSpPr>
      <xdr:spPr>
        <a:xfrm>
          <a:off x="1115377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000">
              <a:latin typeface="Segoe UI" panose="020B0502040204020203" pitchFamily="34" charset="0"/>
              <a:cs typeface="Segoe UI" panose="020B0502040204020203" pitchFamily="34" charset="0"/>
            </a:rPr>
            <a:t>Energy Drink</a:t>
          </a:r>
        </a:p>
      </xdr:txBody>
    </xdr:sp>
    <xdr:clientData/>
  </xdr:twoCellAnchor>
  <xdr:twoCellAnchor>
    <xdr:from>
      <xdr:col>22</xdr:col>
      <xdr:colOff>0</xdr:colOff>
      <xdr:row>3</xdr:row>
      <xdr:rowOff>142875</xdr:rowOff>
    </xdr:from>
    <xdr:to>
      <xdr:col>22</xdr:col>
      <xdr:colOff>685800</xdr:colOff>
      <xdr:row>5</xdr:row>
      <xdr:rowOff>51435</xdr:rowOff>
    </xdr:to>
    <xdr:sp macro="[0]!POS_LoadProducts" textlink="">
      <xdr:nvSpPr>
        <xdr:cNvPr id="755" name="Subcategory6">
          <a:extLst>
            <a:ext uri="{FF2B5EF4-FFF2-40B4-BE49-F238E27FC236}">
              <a16:creationId xmlns:a16="http://schemas.microsoft.com/office/drawing/2014/main" id="{00000000-0008-0000-0100-0000F3020000}"/>
            </a:ext>
          </a:extLst>
        </xdr:cNvPr>
        <xdr:cNvSpPr/>
      </xdr:nvSpPr>
      <xdr:spPr>
        <a:xfrm>
          <a:off x="11934825" y="1476375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000">
              <a:latin typeface="Segoe UI" panose="020B0502040204020203" pitchFamily="34" charset="0"/>
              <a:cs typeface="Segoe UI" panose="020B0502040204020203" pitchFamily="34" charset="0"/>
            </a:rPr>
            <a:t>Drinking Water</a:t>
          </a:r>
        </a:p>
      </xdr:txBody>
    </xdr:sp>
    <xdr:clientData/>
  </xdr:twoCellAnchor>
  <xdr:twoCellAnchor>
    <xdr:from>
      <xdr:col>17</xdr:col>
      <xdr:colOff>0</xdr:colOff>
      <xdr:row>5</xdr:row>
      <xdr:rowOff>152400</xdr:rowOff>
    </xdr:from>
    <xdr:to>
      <xdr:col>17</xdr:col>
      <xdr:colOff>685800</xdr:colOff>
      <xdr:row>7</xdr:row>
      <xdr:rowOff>60960</xdr:rowOff>
    </xdr:to>
    <xdr:sp macro="[0]!POS_LoadProducts" textlink="">
      <xdr:nvSpPr>
        <xdr:cNvPr id="826" name="Subcategory7">
          <a:extLst>
            <a:ext uri="{FF2B5EF4-FFF2-40B4-BE49-F238E27FC236}">
              <a16:creationId xmlns:a16="http://schemas.microsoft.com/office/drawing/2014/main" id="{00000000-0008-0000-0100-00003A030000}"/>
            </a:ext>
          </a:extLst>
        </xdr:cNvPr>
        <xdr:cNvSpPr/>
      </xdr:nvSpPr>
      <xdr:spPr>
        <a:xfrm>
          <a:off x="802957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000">
              <a:latin typeface="Segoe UI" panose="020B0502040204020203" pitchFamily="34" charset="0"/>
              <a:cs typeface="Segoe UI" panose="020B0502040204020203" pitchFamily="34" charset="0"/>
            </a:rPr>
            <a:t>Juice</a:t>
          </a:r>
        </a:p>
      </xdr:txBody>
    </xdr:sp>
    <xdr:clientData/>
  </xdr:twoCellAnchor>
  <xdr:twoCellAnchor>
    <xdr:from>
      <xdr:col>18</xdr:col>
      <xdr:colOff>0</xdr:colOff>
      <xdr:row>5</xdr:row>
      <xdr:rowOff>152400</xdr:rowOff>
    </xdr:from>
    <xdr:to>
      <xdr:col>18</xdr:col>
      <xdr:colOff>685800</xdr:colOff>
      <xdr:row>7</xdr:row>
      <xdr:rowOff>60960</xdr:rowOff>
    </xdr:to>
    <xdr:sp macro="[0]!POS_LoadProducts" textlink="">
      <xdr:nvSpPr>
        <xdr:cNvPr id="827" name="Subcategory8">
          <a:extLst>
            <a:ext uri="{FF2B5EF4-FFF2-40B4-BE49-F238E27FC236}">
              <a16:creationId xmlns:a16="http://schemas.microsoft.com/office/drawing/2014/main" id="{00000000-0008-0000-0100-00003B030000}"/>
            </a:ext>
          </a:extLst>
        </xdr:cNvPr>
        <xdr:cNvSpPr/>
      </xdr:nvSpPr>
      <xdr:spPr>
        <a:xfrm>
          <a:off x="881062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000">
              <a:latin typeface="Segoe UI" panose="020B0502040204020203" pitchFamily="34" charset="0"/>
              <a:cs typeface="Segoe UI" panose="020B0502040204020203" pitchFamily="34" charset="0"/>
            </a:rPr>
            <a:t>Milk</a:t>
          </a:r>
        </a:p>
      </xdr:txBody>
    </xdr:sp>
    <xdr:clientData/>
  </xdr:twoCellAnchor>
  <xdr:twoCellAnchor>
    <xdr:from>
      <xdr:col>19</xdr:col>
      <xdr:colOff>0</xdr:colOff>
      <xdr:row>5</xdr:row>
      <xdr:rowOff>152400</xdr:rowOff>
    </xdr:from>
    <xdr:to>
      <xdr:col>19</xdr:col>
      <xdr:colOff>685800</xdr:colOff>
      <xdr:row>7</xdr:row>
      <xdr:rowOff>60960</xdr:rowOff>
    </xdr:to>
    <xdr:sp macro="[0]!POS_LoadProducts" textlink="">
      <xdr:nvSpPr>
        <xdr:cNvPr id="828" name="Subcategory9">
          <a:extLst>
            <a:ext uri="{FF2B5EF4-FFF2-40B4-BE49-F238E27FC236}">
              <a16:creationId xmlns:a16="http://schemas.microsoft.com/office/drawing/2014/main" id="{00000000-0008-0000-0100-00003C030000}"/>
            </a:ext>
          </a:extLst>
        </xdr:cNvPr>
        <xdr:cNvSpPr/>
      </xdr:nvSpPr>
      <xdr:spPr>
        <a:xfrm>
          <a:off x="959167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000">
              <a:latin typeface="Segoe UI" panose="020B0502040204020203" pitchFamily="34" charset="0"/>
              <a:cs typeface="Segoe UI" panose="020B0502040204020203" pitchFamily="34" charset="0"/>
            </a:rPr>
            <a:t>Cider</a:t>
          </a:r>
        </a:p>
      </xdr:txBody>
    </xdr:sp>
    <xdr:clientData/>
  </xdr:twoCellAnchor>
  <xdr:twoCellAnchor>
    <xdr:from>
      <xdr:col>20</xdr:col>
      <xdr:colOff>0</xdr:colOff>
      <xdr:row>5</xdr:row>
      <xdr:rowOff>152400</xdr:rowOff>
    </xdr:from>
    <xdr:to>
      <xdr:col>20</xdr:col>
      <xdr:colOff>685800</xdr:colOff>
      <xdr:row>7</xdr:row>
      <xdr:rowOff>60960</xdr:rowOff>
    </xdr:to>
    <xdr:sp macro="[0]!POS_LoadProducts" textlink="">
      <xdr:nvSpPr>
        <xdr:cNvPr id="829" name="Subcategory10">
          <a:extLst>
            <a:ext uri="{FF2B5EF4-FFF2-40B4-BE49-F238E27FC236}">
              <a16:creationId xmlns:a16="http://schemas.microsoft.com/office/drawing/2014/main" id="{00000000-0008-0000-0100-00003D030000}"/>
            </a:ext>
          </a:extLst>
        </xdr:cNvPr>
        <xdr:cNvSpPr/>
      </xdr:nvSpPr>
      <xdr:spPr>
        <a:xfrm>
          <a:off x="1037272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000">
              <a:latin typeface="Segoe UI" panose="020B0502040204020203" pitchFamily="34" charset="0"/>
              <a:cs typeface="Segoe UI" panose="020B0502040204020203" pitchFamily="34" charset="0"/>
            </a:rPr>
            <a:t>Cocktails</a:t>
          </a:r>
        </a:p>
      </xdr:txBody>
    </xdr:sp>
    <xdr:clientData/>
  </xdr:twoCellAnchor>
  <xdr:twoCellAnchor>
    <xdr:from>
      <xdr:col>21</xdr:col>
      <xdr:colOff>0</xdr:colOff>
      <xdr:row>5</xdr:row>
      <xdr:rowOff>152400</xdr:rowOff>
    </xdr:from>
    <xdr:to>
      <xdr:col>21</xdr:col>
      <xdr:colOff>685800</xdr:colOff>
      <xdr:row>7</xdr:row>
      <xdr:rowOff>60960</xdr:rowOff>
    </xdr:to>
    <xdr:sp macro="[0]!POS_LoadProducts" textlink="">
      <xdr:nvSpPr>
        <xdr:cNvPr id="830" name="Subcategory11">
          <a:extLst>
            <a:ext uri="{FF2B5EF4-FFF2-40B4-BE49-F238E27FC236}">
              <a16:creationId xmlns:a16="http://schemas.microsoft.com/office/drawing/2014/main" id="{00000000-0008-0000-0100-00003E030000}"/>
            </a:ext>
          </a:extLst>
        </xdr:cNvPr>
        <xdr:cNvSpPr/>
      </xdr:nvSpPr>
      <xdr:spPr>
        <a:xfrm>
          <a:off x="1115377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000">
              <a:latin typeface="Segoe UI" panose="020B0502040204020203" pitchFamily="34" charset="0"/>
              <a:cs typeface="Segoe UI" panose="020B0502040204020203" pitchFamily="34" charset="0"/>
            </a:rPr>
            <a:t>Tea</a:t>
          </a:r>
        </a:p>
      </xdr:txBody>
    </xdr:sp>
    <xdr:clientData/>
  </xdr:twoCellAnchor>
  <xdr:twoCellAnchor>
    <xdr:from>
      <xdr:col>22</xdr:col>
      <xdr:colOff>0</xdr:colOff>
      <xdr:row>5</xdr:row>
      <xdr:rowOff>152400</xdr:rowOff>
    </xdr:from>
    <xdr:to>
      <xdr:col>22</xdr:col>
      <xdr:colOff>685800</xdr:colOff>
      <xdr:row>7</xdr:row>
      <xdr:rowOff>60960</xdr:rowOff>
    </xdr:to>
    <xdr:sp macro="[0]!POS_LoadProducts" textlink="">
      <xdr:nvSpPr>
        <xdr:cNvPr id="831" name="Subcategory12">
          <a:extLst>
            <a:ext uri="{FF2B5EF4-FFF2-40B4-BE49-F238E27FC236}">
              <a16:creationId xmlns:a16="http://schemas.microsoft.com/office/drawing/2014/main" id="{00000000-0008-0000-0100-00003F030000}"/>
            </a:ext>
          </a:extLst>
        </xdr:cNvPr>
        <xdr:cNvSpPr/>
      </xdr:nvSpPr>
      <xdr:spPr>
        <a:xfrm>
          <a:off x="11934825" y="1943100"/>
          <a:ext cx="685800" cy="36576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000">
              <a:latin typeface="Segoe UI" panose="020B0502040204020203" pitchFamily="34" charset="0"/>
              <a:cs typeface="Segoe UI" panose="020B0502040204020203" pitchFamily="34" charset="0"/>
            </a:rPr>
            <a:t>Coffee</a:t>
          </a:r>
        </a:p>
      </xdr:txBody>
    </xdr:sp>
    <xdr:clientData/>
  </xdr:twoCellAnchor>
  <xdr:twoCellAnchor>
    <xdr:from>
      <xdr:col>17</xdr:col>
      <xdr:colOff>0</xdr:colOff>
      <xdr:row>8</xdr:row>
      <xdr:rowOff>0</xdr:rowOff>
    </xdr:from>
    <xdr:to>
      <xdr:col>17</xdr:col>
      <xdr:colOff>685800</xdr:colOff>
      <xdr:row>9</xdr:row>
      <xdr:rowOff>135255</xdr:rowOff>
    </xdr:to>
    <xdr:sp macro="POS_SelectProduct" textlink="">
      <xdr:nvSpPr>
        <xdr:cNvPr id="123" name="Product3">
          <a:extLst>
            <a:ext uri="{FF2B5EF4-FFF2-40B4-BE49-F238E27FC236}">
              <a16:creationId xmlns:a16="http://schemas.microsoft.com/office/drawing/2014/main" id="{AAD7F108-5A5A-4662-8ECF-E017798E2424}"/>
            </a:ext>
          </a:extLst>
        </xdr:cNvPr>
        <xdr:cNvSpPr/>
      </xdr:nvSpPr>
      <xdr:spPr>
        <a:xfrm>
          <a:off x="8728710" y="2472690"/>
          <a:ext cx="685800" cy="363855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en-US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Red Wine 4L</a:t>
          </a:r>
        </a:p>
      </xdr:txBody>
    </xdr:sp>
    <xdr:clientData/>
  </xdr:twoCellAnchor>
  <xdr:twoCellAnchor>
    <xdr:from>
      <xdr:col>18</xdr:col>
      <xdr:colOff>0</xdr:colOff>
      <xdr:row>8</xdr:row>
      <xdr:rowOff>0</xdr:rowOff>
    </xdr:from>
    <xdr:to>
      <xdr:col>18</xdr:col>
      <xdr:colOff>685800</xdr:colOff>
      <xdr:row>9</xdr:row>
      <xdr:rowOff>135255</xdr:rowOff>
    </xdr:to>
    <xdr:sp macro="POS_SelectProduct" textlink="">
      <xdr:nvSpPr>
        <xdr:cNvPr id="124" name="Product4">
          <a:extLst>
            <a:ext uri="{FF2B5EF4-FFF2-40B4-BE49-F238E27FC236}">
              <a16:creationId xmlns:a16="http://schemas.microsoft.com/office/drawing/2014/main" id="{D1648782-1567-4C08-A562-2F58B479565A}"/>
            </a:ext>
          </a:extLst>
        </xdr:cNvPr>
        <xdr:cNvSpPr/>
      </xdr:nvSpPr>
      <xdr:spPr>
        <a:xfrm>
          <a:off x="9574530" y="2472690"/>
          <a:ext cx="685800" cy="363855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en-US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White Wine 1.5L</a:t>
          </a:r>
        </a:p>
      </xdr:txBody>
    </xdr:sp>
    <xdr:clientData/>
  </xdr:twoCellAnchor>
  <xdr:twoCellAnchor>
    <xdr:from>
      <xdr:col>19</xdr:col>
      <xdr:colOff>0</xdr:colOff>
      <xdr:row>8</xdr:row>
      <xdr:rowOff>0</xdr:rowOff>
    </xdr:from>
    <xdr:to>
      <xdr:col>19</xdr:col>
      <xdr:colOff>685800</xdr:colOff>
      <xdr:row>9</xdr:row>
      <xdr:rowOff>135255</xdr:rowOff>
    </xdr:to>
    <xdr:sp macro="POS_SelectProduct" textlink="">
      <xdr:nvSpPr>
        <xdr:cNvPr id="125" name="Product5">
          <a:extLst>
            <a:ext uri="{FF2B5EF4-FFF2-40B4-BE49-F238E27FC236}">
              <a16:creationId xmlns:a16="http://schemas.microsoft.com/office/drawing/2014/main" id="{EAB72D6C-AF53-4707-BC1B-12E2126187C5}"/>
            </a:ext>
          </a:extLst>
        </xdr:cNvPr>
        <xdr:cNvSpPr/>
      </xdr:nvSpPr>
      <xdr:spPr>
        <a:xfrm>
          <a:off x="10420350" y="2472690"/>
          <a:ext cx="685800" cy="363855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en-US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Noir Wine 750ML</a:t>
          </a:r>
        </a:p>
      </xdr:txBody>
    </xdr:sp>
    <xdr:clientData/>
  </xdr:twoCellAnchor>
  <xdr:twoCellAnchor>
    <xdr:from>
      <xdr:col>20</xdr:col>
      <xdr:colOff>0</xdr:colOff>
      <xdr:row>8</xdr:row>
      <xdr:rowOff>0</xdr:rowOff>
    </xdr:from>
    <xdr:to>
      <xdr:col>20</xdr:col>
      <xdr:colOff>685800</xdr:colOff>
      <xdr:row>9</xdr:row>
      <xdr:rowOff>135255</xdr:rowOff>
    </xdr:to>
    <xdr:sp macro="POS_SelectProduct" textlink="">
      <xdr:nvSpPr>
        <xdr:cNvPr id="126" name="Product6">
          <a:extLst>
            <a:ext uri="{FF2B5EF4-FFF2-40B4-BE49-F238E27FC236}">
              <a16:creationId xmlns:a16="http://schemas.microsoft.com/office/drawing/2014/main" id="{046940AB-0437-4CD1-8F34-AEF8C8ACC01B}"/>
            </a:ext>
          </a:extLst>
        </xdr:cNvPr>
        <xdr:cNvSpPr/>
      </xdr:nvSpPr>
      <xdr:spPr>
        <a:xfrm>
          <a:off x="11266170" y="2472690"/>
          <a:ext cx="685800" cy="363855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en-US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Colombard Wine 5L</a:t>
          </a:r>
        </a:p>
      </xdr:txBody>
    </xdr:sp>
    <xdr:clientData/>
  </xdr:twoCellAnchor>
  <xdr:twoCellAnchor>
    <xdr:from>
      <xdr:col>21</xdr:col>
      <xdr:colOff>0</xdr:colOff>
      <xdr:row>8</xdr:row>
      <xdr:rowOff>0</xdr:rowOff>
    </xdr:from>
    <xdr:to>
      <xdr:col>21</xdr:col>
      <xdr:colOff>685800</xdr:colOff>
      <xdr:row>9</xdr:row>
      <xdr:rowOff>135255</xdr:rowOff>
    </xdr:to>
    <xdr:sp macro="POS_SelectProduct" textlink="">
      <xdr:nvSpPr>
        <xdr:cNvPr id="127" name="Product7">
          <a:extLst>
            <a:ext uri="{FF2B5EF4-FFF2-40B4-BE49-F238E27FC236}">
              <a16:creationId xmlns:a16="http://schemas.microsoft.com/office/drawing/2014/main" id="{47854263-8949-4E88-BECC-4C3D684FE231}"/>
            </a:ext>
          </a:extLst>
        </xdr:cNvPr>
        <xdr:cNvSpPr/>
      </xdr:nvSpPr>
      <xdr:spPr>
        <a:xfrm>
          <a:off x="12111990" y="2472690"/>
          <a:ext cx="685800" cy="363855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en-US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Dark Red Wine</a:t>
          </a:r>
        </a:p>
      </xdr:txBody>
    </xdr:sp>
    <xdr:clientData/>
  </xdr:twoCellAnchor>
  <xdr:twoCellAnchor>
    <xdr:from>
      <xdr:col>22</xdr:col>
      <xdr:colOff>0</xdr:colOff>
      <xdr:row>8</xdr:row>
      <xdr:rowOff>0</xdr:rowOff>
    </xdr:from>
    <xdr:to>
      <xdr:col>22</xdr:col>
      <xdr:colOff>685800</xdr:colOff>
      <xdr:row>9</xdr:row>
      <xdr:rowOff>135255</xdr:rowOff>
    </xdr:to>
    <xdr:sp macro="POS_SelectProduct" textlink="">
      <xdr:nvSpPr>
        <xdr:cNvPr id="128" name="Product8">
          <a:extLst>
            <a:ext uri="{FF2B5EF4-FFF2-40B4-BE49-F238E27FC236}">
              <a16:creationId xmlns:a16="http://schemas.microsoft.com/office/drawing/2014/main" id="{A58F8E60-2BE9-437F-BD96-A6FE826AF2FD}"/>
            </a:ext>
          </a:extLst>
        </xdr:cNvPr>
        <xdr:cNvSpPr/>
      </xdr:nvSpPr>
      <xdr:spPr>
        <a:xfrm>
          <a:off x="12957810" y="2472690"/>
          <a:ext cx="685800" cy="363855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en-US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Pinot Noir Wine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17</xdr:col>
      <xdr:colOff>685800</xdr:colOff>
      <xdr:row>11</xdr:row>
      <xdr:rowOff>135255</xdr:rowOff>
    </xdr:to>
    <xdr:sp macro="POS_SelectProduct" textlink="">
      <xdr:nvSpPr>
        <xdr:cNvPr id="129" name="Product9">
          <a:extLst>
            <a:ext uri="{FF2B5EF4-FFF2-40B4-BE49-F238E27FC236}">
              <a16:creationId xmlns:a16="http://schemas.microsoft.com/office/drawing/2014/main" id="{A22CD23C-C04A-49AA-8C85-7395A42839C7}"/>
            </a:ext>
          </a:extLst>
        </xdr:cNvPr>
        <xdr:cNvSpPr/>
      </xdr:nvSpPr>
      <xdr:spPr>
        <a:xfrm>
          <a:off x="8728710" y="2929890"/>
          <a:ext cx="685800" cy="363855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en-US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Rose Wine 750ml</a:t>
          </a:r>
        </a:p>
      </xdr:txBody>
    </xdr:sp>
    <xdr:clientData/>
  </xdr:twoCellAnchor>
  <xdr:twoCellAnchor>
    <xdr:from>
      <xdr:col>18</xdr:col>
      <xdr:colOff>0</xdr:colOff>
      <xdr:row>10</xdr:row>
      <xdr:rowOff>0</xdr:rowOff>
    </xdr:from>
    <xdr:to>
      <xdr:col>18</xdr:col>
      <xdr:colOff>685800</xdr:colOff>
      <xdr:row>11</xdr:row>
      <xdr:rowOff>135255</xdr:rowOff>
    </xdr:to>
    <xdr:sp macro="POS_SelectProduct" textlink="">
      <xdr:nvSpPr>
        <xdr:cNvPr id="130" name="Product10">
          <a:extLst>
            <a:ext uri="{FF2B5EF4-FFF2-40B4-BE49-F238E27FC236}">
              <a16:creationId xmlns:a16="http://schemas.microsoft.com/office/drawing/2014/main" id="{D175F90A-C582-491C-96B8-A68D7B79FE88}"/>
            </a:ext>
          </a:extLst>
        </xdr:cNvPr>
        <xdr:cNvSpPr/>
      </xdr:nvSpPr>
      <xdr:spPr>
        <a:xfrm>
          <a:off x="9574530" y="2929890"/>
          <a:ext cx="685800" cy="363855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en-US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Moscato Wine</a:t>
          </a:r>
        </a:p>
      </xdr:txBody>
    </xdr:sp>
    <xdr:clientData/>
  </xdr:twoCellAnchor>
  <xdr:twoCellAnchor>
    <xdr:from>
      <xdr:col>19</xdr:col>
      <xdr:colOff>0</xdr:colOff>
      <xdr:row>10</xdr:row>
      <xdr:rowOff>0</xdr:rowOff>
    </xdr:from>
    <xdr:to>
      <xdr:col>19</xdr:col>
      <xdr:colOff>685800</xdr:colOff>
      <xdr:row>11</xdr:row>
      <xdr:rowOff>135255</xdr:rowOff>
    </xdr:to>
    <xdr:sp macro="POS_SelectProduct" textlink="">
      <xdr:nvSpPr>
        <xdr:cNvPr id="131" name="Product11">
          <a:extLst>
            <a:ext uri="{FF2B5EF4-FFF2-40B4-BE49-F238E27FC236}">
              <a16:creationId xmlns:a16="http://schemas.microsoft.com/office/drawing/2014/main" id="{DEA208F3-E1AE-455F-8B81-D3044C29FA1D}"/>
            </a:ext>
          </a:extLst>
        </xdr:cNvPr>
        <xdr:cNvSpPr/>
      </xdr:nvSpPr>
      <xdr:spPr>
        <a:xfrm>
          <a:off x="10420350" y="2929890"/>
          <a:ext cx="685800" cy="363855"/>
        </a:xfrm>
        <a:prstGeom prst="rect">
          <a:avLst/>
        </a:prstGeom>
        <a:gradFill>
          <a:gsLst>
            <a:gs pos="0">
              <a:schemeClr val="accent1">
                <a:lumMod val="20000"/>
                <a:lumOff val="80000"/>
              </a:schemeClr>
            </a:gs>
            <a:gs pos="100000">
              <a:schemeClr val="bg1"/>
            </a:gs>
          </a:gsLst>
        </a:gra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lIns="0" tIns="0" rIns="0" bIns="18288" rtlCol="0" anchor="b"/>
        <a:lstStyle/>
        <a:p>
          <a:pPr algn="ctr"/>
          <a:r>
            <a:rPr lang="en-US" sz="1100" b="0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Prosecco 750ml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Q43"/>
  <sheetViews>
    <sheetView topLeftCell="H1" workbookViewId="0">
      <selection activeCell="I6" sqref="I6"/>
    </sheetView>
  </sheetViews>
  <sheetFormatPr defaultRowHeight="16.2" x14ac:dyDescent="0.7"/>
  <cols>
    <col min="1" max="2" width="8.83984375" style="4"/>
    <col min="3" max="3" width="13.578125" style="4" bestFit="1" customWidth="1"/>
    <col min="4" max="4" width="20.15625" style="4" bestFit="1" customWidth="1"/>
    <col min="5" max="5" width="16" style="4" bestFit="1" customWidth="1"/>
    <col min="6" max="6" width="16.15625" style="4" bestFit="1" customWidth="1"/>
    <col min="7" max="7" width="16.83984375" style="4" bestFit="1" customWidth="1"/>
    <col min="8" max="8" width="15.15625" style="4" bestFit="1" customWidth="1"/>
    <col min="9" max="9" width="18.578125" style="4" bestFit="1" customWidth="1"/>
    <col min="10" max="10" width="8.83984375" style="4"/>
    <col min="11" max="11" width="15.15625" style="4" bestFit="1" customWidth="1"/>
    <col min="12" max="12" width="9.15625" style="4" customWidth="1"/>
    <col min="13" max="13" width="43.83984375" style="4" customWidth="1"/>
    <col min="14" max="14" width="8.83984375" style="4"/>
    <col min="15" max="15" width="35.578125" style="4" customWidth="1"/>
    <col min="16" max="16384" width="8.83984375" style="4"/>
  </cols>
  <sheetData>
    <row r="1" spans="1:17" ht="39" customHeight="1" thickBot="1" x14ac:dyDescent="1.75">
      <c r="A1" s="64"/>
      <c r="B1" s="64"/>
      <c r="C1" s="95" t="s">
        <v>461</v>
      </c>
      <c r="D1" s="95"/>
      <c r="E1" s="95"/>
      <c r="F1" s="95"/>
      <c r="G1" s="95"/>
      <c r="H1" s="95"/>
      <c r="I1" s="95"/>
      <c r="J1" s="95"/>
      <c r="K1" s="95"/>
      <c r="L1" s="95"/>
      <c r="M1" s="95"/>
      <c r="N1" s="64"/>
      <c r="O1" s="64"/>
    </row>
    <row r="2" spans="1:17" x14ac:dyDescent="0.7">
      <c r="A2" s="65"/>
      <c r="B2" s="65"/>
      <c r="C2" s="100" t="s">
        <v>72</v>
      </c>
      <c r="D2" s="101"/>
      <c r="E2" s="101"/>
      <c r="F2" s="101"/>
      <c r="G2" s="101"/>
      <c r="H2" s="101"/>
      <c r="I2" s="102"/>
      <c r="J2" s="65"/>
      <c r="K2" s="103" t="s">
        <v>722</v>
      </c>
      <c r="L2" s="104"/>
      <c r="M2" s="105"/>
      <c r="N2" s="65"/>
      <c r="O2" s="65"/>
    </row>
    <row r="3" spans="1:17" x14ac:dyDescent="0.7">
      <c r="A3" s="56"/>
      <c r="B3" s="56"/>
      <c r="C3" s="66" t="s">
        <v>111</v>
      </c>
      <c r="D3" s="67" t="s">
        <v>105</v>
      </c>
      <c r="E3" s="67" t="s">
        <v>106</v>
      </c>
      <c r="F3" s="67" t="s">
        <v>107</v>
      </c>
      <c r="G3" s="67" t="s">
        <v>108</v>
      </c>
      <c r="H3" s="67" t="s">
        <v>109</v>
      </c>
      <c r="I3" s="67" t="s">
        <v>110</v>
      </c>
      <c r="J3" s="56"/>
      <c r="K3" s="68" t="s">
        <v>10</v>
      </c>
      <c r="L3" s="69" t="s">
        <v>9</v>
      </c>
      <c r="M3" s="54"/>
      <c r="N3" s="56"/>
      <c r="O3" s="56"/>
    </row>
    <row r="4" spans="1:17" x14ac:dyDescent="0.7">
      <c r="A4" s="56"/>
      <c r="B4" s="56"/>
      <c r="C4" s="66" t="s">
        <v>2</v>
      </c>
      <c r="D4" s="70" t="s">
        <v>37</v>
      </c>
      <c r="E4" s="70" t="s">
        <v>38</v>
      </c>
      <c r="F4" s="70" t="s">
        <v>39</v>
      </c>
      <c r="G4" s="70" t="s">
        <v>40</v>
      </c>
      <c r="H4" s="70" t="s">
        <v>41</v>
      </c>
      <c r="I4" s="70" t="s">
        <v>42</v>
      </c>
      <c r="J4" s="56"/>
      <c r="K4" s="68" t="s">
        <v>11</v>
      </c>
      <c r="L4" s="71">
        <v>0.2</v>
      </c>
      <c r="M4" s="54"/>
      <c r="N4" s="56"/>
      <c r="O4" s="56"/>
    </row>
    <row r="5" spans="1:17" x14ac:dyDescent="0.7">
      <c r="A5" s="56"/>
      <c r="B5" s="56"/>
      <c r="C5" s="98" t="s">
        <v>35</v>
      </c>
      <c r="D5" s="72" t="s">
        <v>43</v>
      </c>
      <c r="E5" s="73" t="s">
        <v>3</v>
      </c>
      <c r="F5" s="73" t="s">
        <v>216</v>
      </c>
      <c r="G5" s="73" t="s">
        <v>265</v>
      </c>
      <c r="H5" s="73" t="s">
        <v>50</v>
      </c>
      <c r="I5" s="73" t="s">
        <v>316</v>
      </c>
      <c r="J5" s="56"/>
      <c r="K5" s="74" t="s">
        <v>460</v>
      </c>
      <c r="L5" s="96" t="s">
        <v>788</v>
      </c>
      <c r="M5" s="97"/>
      <c r="N5" s="56"/>
      <c r="O5" s="56"/>
    </row>
    <row r="6" spans="1:17" x14ac:dyDescent="0.7">
      <c r="A6" s="56"/>
      <c r="B6" s="56"/>
      <c r="C6" s="98"/>
      <c r="D6" s="72" t="s">
        <v>44</v>
      </c>
      <c r="E6" s="73" t="s">
        <v>171</v>
      </c>
      <c r="F6" s="73" t="s">
        <v>56</v>
      </c>
      <c r="G6" s="73" t="s">
        <v>52</v>
      </c>
      <c r="H6" s="73" t="s">
        <v>53</v>
      </c>
      <c r="I6" s="73" t="s">
        <v>322</v>
      </c>
      <c r="J6" s="56"/>
      <c r="K6" s="75" t="s">
        <v>723</v>
      </c>
      <c r="L6" s="106" t="s">
        <v>473</v>
      </c>
      <c r="M6" s="107"/>
      <c r="N6" s="56"/>
      <c r="O6" s="56"/>
    </row>
    <row r="7" spans="1:17" x14ac:dyDescent="0.7">
      <c r="A7" s="56"/>
      <c r="B7" s="56"/>
      <c r="C7" s="98"/>
      <c r="D7" s="72" t="s">
        <v>45</v>
      </c>
      <c r="E7" s="73" t="s">
        <v>177</v>
      </c>
      <c r="F7" s="73" t="s">
        <v>54</v>
      </c>
      <c r="G7" s="73" t="s">
        <v>74</v>
      </c>
      <c r="H7" s="73" t="s">
        <v>55</v>
      </c>
      <c r="I7" s="73" t="s">
        <v>328</v>
      </c>
      <c r="J7" s="56"/>
      <c r="K7" s="73" t="s">
        <v>27</v>
      </c>
      <c r="L7" s="76" t="s">
        <v>472</v>
      </c>
      <c r="M7" s="76" t="s">
        <v>16</v>
      </c>
      <c r="N7" s="56"/>
      <c r="O7" s="56"/>
    </row>
    <row r="8" spans="1:17" x14ac:dyDescent="0.7">
      <c r="A8" s="56"/>
      <c r="B8" s="56"/>
      <c r="C8" s="98"/>
      <c r="D8" s="72" t="s">
        <v>46</v>
      </c>
      <c r="E8" s="73" t="s">
        <v>182</v>
      </c>
      <c r="F8" s="73" t="s">
        <v>114</v>
      </c>
      <c r="G8" s="73" t="s">
        <v>76</v>
      </c>
      <c r="H8" s="73" t="s">
        <v>54</v>
      </c>
      <c r="I8" s="73" t="s">
        <v>455</v>
      </c>
      <c r="J8" s="56"/>
      <c r="K8" s="73" t="s">
        <v>28</v>
      </c>
      <c r="L8" s="73" t="s">
        <v>464</v>
      </c>
      <c r="M8" s="73" t="s">
        <v>17</v>
      </c>
      <c r="N8" s="56"/>
      <c r="O8" s="56"/>
    </row>
    <row r="9" spans="1:17" x14ac:dyDescent="0.7">
      <c r="A9" s="56"/>
      <c r="B9" s="56"/>
      <c r="C9" s="98"/>
      <c r="D9" s="72" t="s">
        <v>77</v>
      </c>
      <c r="E9" s="73" t="s">
        <v>186</v>
      </c>
      <c r="F9" s="73" t="s">
        <v>78</v>
      </c>
      <c r="G9" s="73" t="s">
        <v>85</v>
      </c>
      <c r="H9" s="73" t="s">
        <v>56</v>
      </c>
      <c r="I9" s="73" t="s">
        <v>418</v>
      </c>
      <c r="J9" s="56"/>
      <c r="K9" s="73" t="s">
        <v>29</v>
      </c>
      <c r="L9" s="73" t="s">
        <v>463</v>
      </c>
      <c r="M9" s="73" t="s">
        <v>466</v>
      </c>
      <c r="N9" s="56"/>
      <c r="O9" s="56"/>
    </row>
    <row r="10" spans="1:17" x14ac:dyDescent="0.7">
      <c r="A10" s="56"/>
      <c r="B10" s="56"/>
      <c r="C10" s="98"/>
      <c r="D10" s="72" t="s">
        <v>138</v>
      </c>
      <c r="E10" s="73" t="s">
        <v>190</v>
      </c>
      <c r="F10" s="73" t="s">
        <v>234</v>
      </c>
      <c r="G10" s="73" t="s">
        <v>278</v>
      </c>
      <c r="H10" s="73" t="s">
        <v>57</v>
      </c>
      <c r="I10" s="73" t="s">
        <v>421</v>
      </c>
      <c r="J10" s="56"/>
      <c r="K10" s="73" t="s">
        <v>30</v>
      </c>
      <c r="L10" s="73" t="s">
        <v>462</v>
      </c>
      <c r="M10" s="73" t="s">
        <v>465</v>
      </c>
      <c r="N10" s="56"/>
      <c r="O10" s="56"/>
    </row>
    <row r="11" spans="1:17" x14ac:dyDescent="0.7">
      <c r="A11" s="56"/>
      <c r="B11" s="56"/>
      <c r="C11" s="98"/>
      <c r="D11" s="72" t="s">
        <v>82</v>
      </c>
      <c r="E11" s="73" t="s">
        <v>474</v>
      </c>
      <c r="F11" s="73" t="s">
        <v>238</v>
      </c>
      <c r="G11" s="73" t="s">
        <v>282</v>
      </c>
      <c r="H11" s="73" t="s">
        <v>85</v>
      </c>
      <c r="I11" s="73" t="s">
        <v>426</v>
      </c>
      <c r="J11" s="56"/>
      <c r="K11" s="56"/>
      <c r="L11" s="56"/>
      <c r="M11" s="56"/>
      <c r="N11" s="56"/>
      <c r="O11" s="56"/>
    </row>
    <row r="12" spans="1:17" x14ac:dyDescent="0.7">
      <c r="A12" s="56"/>
      <c r="B12" s="56"/>
      <c r="C12" s="98"/>
      <c r="D12" s="72" t="s">
        <v>145</v>
      </c>
      <c r="E12" s="73" t="s">
        <v>192</v>
      </c>
      <c r="F12" s="73" t="s">
        <v>55</v>
      </c>
      <c r="G12" s="73" t="s">
        <v>88</v>
      </c>
      <c r="H12" s="73" t="s">
        <v>314</v>
      </c>
      <c r="I12" s="73" t="s">
        <v>431</v>
      </c>
      <c r="J12" s="56"/>
      <c r="K12" s="56"/>
      <c r="L12" s="56"/>
      <c r="M12" s="56"/>
      <c r="N12" s="56"/>
      <c r="O12" s="56"/>
    </row>
    <row r="13" spans="1:17" x14ac:dyDescent="0.7">
      <c r="A13" s="56"/>
      <c r="B13" s="56"/>
      <c r="C13" s="98"/>
      <c r="D13" s="72" t="s">
        <v>150</v>
      </c>
      <c r="E13" s="73" t="s">
        <v>90</v>
      </c>
      <c r="F13" s="73" t="s">
        <v>247</v>
      </c>
      <c r="G13" s="73" t="s">
        <v>292</v>
      </c>
      <c r="H13" s="73" t="s">
        <v>238</v>
      </c>
      <c r="I13" s="73" t="s">
        <v>437</v>
      </c>
      <c r="J13" s="56"/>
      <c r="K13" s="56"/>
      <c r="L13" s="56"/>
      <c r="M13" s="56"/>
      <c r="N13" s="56"/>
      <c r="O13" s="56"/>
    </row>
    <row r="14" spans="1:17" x14ac:dyDescent="0.7">
      <c r="A14" s="56"/>
      <c r="B14" s="56"/>
      <c r="C14" s="98"/>
      <c r="D14" s="72" t="s">
        <v>152</v>
      </c>
      <c r="E14" s="73" t="s">
        <v>94</v>
      </c>
      <c r="F14" s="73" t="s">
        <v>252</v>
      </c>
      <c r="G14" s="73" t="s">
        <v>379</v>
      </c>
      <c r="H14" s="73" t="s">
        <v>95</v>
      </c>
      <c r="I14" s="73" t="s">
        <v>441</v>
      </c>
      <c r="J14" s="56"/>
      <c r="K14" s="56"/>
      <c r="L14" s="56"/>
      <c r="M14" s="56"/>
      <c r="N14" s="56"/>
      <c r="O14" s="56"/>
    </row>
    <row r="15" spans="1:17" x14ac:dyDescent="0.7">
      <c r="A15" s="56"/>
      <c r="B15" s="56"/>
      <c r="C15" s="98"/>
      <c r="D15" s="72" t="s">
        <v>158</v>
      </c>
      <c r="E15" s="73" t="s">
        <v>207</v>
      </c>
      <c r="F15" s="73" t="s">
        <v>258</v>
      </c>
      <c r="G15" s="73" t="s">
        <v>103</v>
      </c>
      <c r="H15" s="73" t="s">
        <v>99</v>
      </c>
      <c r="I15" s="73" t="s">
        <v>446</v>
      </c>
      <c r="J15" s="56"/>
      <c r="K15" s="56"/>
      <c r="L15" s="77"/>
      <c r="M15" s="56"/>
      <c r="N15" s="78"/>
      <c r="O15" s="78"/>
      <c r="P15" s="79"/>
      <c r="Q15" s="79"/>
    </row>
    <row r="16" spans="1:17" ht="16.5" thickBot="1" x14ac:dyDescent="0.75">
      <c r="A16" s="56"/>
      <c r="B16" s="56"/>
      <c r="C16" s="99"/>
      <c r="D16" s="72" t="s">
        <v>100</v>
      </c>
      <c r="E16" s="73" t="s">
        <v>212</v>
      </c>
      <c r="F16" s="73" t="s">
        <v>261</v>
      </c>
      <c r="G16" s="73" t="s">
        <v>102</v>
      </c>
      <c r="H16" s="73" t="s">
        <v>103</v>
      </c>
      <c r="I16" s="73" t="s">
        <v>451</v>
      </c>
      <c r="J16" s="56"/>
      <c r="K16" s="56"/>
      <c r="L16" s="77"/>
      <c r="M16" s="56"/>
      <c r="N16" s="78"/>
      <c r="O16" s="78"/>
      <c r="P16" s="79"/>
      <c r="Q16" s="79"/>
    </row>
    <row r="17" spans="1:17" x14ac:dyDescent="0.7">
      <c r="A17" s="56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77"/>
      <c r="M17" s="56"/>
      <c r="N17" s="56"/>
      <c r="O17" s="56"/>
    </row>
    <row r="18" spans="1:17" x14ac:dyDescent="0.7">
      <c r="A18" s="56"/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77"/>
      <c r="M18" s="56"/>
      <c r="N18" s="56"/>
      <c r="O18" s="56"/>
    </row>
    <row r="19" spans="1:17" x14ac:dyDescent="0.7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77"/>
      <c r="M19" s="80"/>
      <c r="N19" s="80"/>
      <c r="O19" s="80"/>
      <c r="P19" s="58"/>
      <c r="Q19" s="58"/>
    </row>
    <row r="20" spans="1:17" x14ac:dyDescent="0.7">
      <c r="A20" s="56"/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77"/>
      <c r="M20" s="56"/>
      <c r="N20" s="56"/>
      <c r="O20" s="56"/>
    </row>
    <row r="21" spans="1:17" x14ac:dyDescent="0.7">
      <c r="A21" s="56"/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77"/>
      <c r="M21" s="56"/>
      <c r="N21" s="56"/>
      <c r="O21" s="56"/>
    </row>
    <row r="22" spans="1:17" x14ac:dyDescent="0.7">
      <c r="A22" s="56"/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77"/>
      <c r="M22" s="56"/>
      <c r="N22" s="56"/>
      <c r="O22" s="56"/>
    </row>
    <row r="23" spans="1:17" x14ac:dyDescent="0.7">
      <c r="A23" s="56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77"/>
      <c r="M23" s="56"/>
      <c r="N23" s="56"/>
      <c r="O23" s="56"/>
    </row>
    <row r="24" spans="1:17" x14ac:dyDescent="0.7">
      <c r="A24" s="56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77"/>
      <c r="M24" s="56"/>
      <c r="N24" s="56"/>
      <c r="O24" s="56"/>
    </row>
    <row r="25" spans="1:17" x14ac:dyDescent="0.7">
      <c r="A25" s="56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77"/>
      <c r="M25" s="56"/>
      <c r="N25" s="56"/>
      <c r="O25" s="56"/>
    </row>
    <row r="26" spans="1:17" x14ac:dyDescent="0.7">
      <c r="A26" s="56"/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</row>
    <row r="27" spans="1:17" x14ac:dyDescent="0.7">
      <c r="A27" s="56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</row>
    <row r="28" spans="1:17" x14ac:dyDescent="0.7">
      <c r="A28" s="56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</row>
    <row r="29" spans="1:17" x14ac:dyDescent="0.7">
      <c r="A29" s="56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</row>
    <row r="30" spans="1:17" x14ac:dyDescent="0.7">
      <c r="A30" s="56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</row>
    <row r="31" spans="1:17" x14ac:dyDescent="0.7">
      <c r="A31" s="56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</row>
    <row r="32" spans="1:17" x14ac:dyDescent="0.7">
      <c r="A32" s="56"/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</row>
    <row r="33" spans="1:15" x14ac:dyDescent="0.7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</row>
    <row r="34" spans="1:15" x14ac:dyDescent="0.7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</row>
    <row r="35" spans="1:15" x14ac:dyDescent="0.7">
      <c r="A35" s="56"/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</row>
    <row r="36" spans="1:15" x14ac:dyDescent="0.7">
      <c r="A36" s="56"/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</row>
    <row r="37" spans="1:15" x14ac:dyDescent="0.7">
      <c r="A37" s="56"/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</row>
    <row r="38" spans="1:15" x14ac:dyDescent="0.7">
      <c r="A38" s="56"/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</row>
    <row r="39" spans="1:15" x14ac:dyDescent="0.7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5" x14ac:dyDescent="0.7">
      <c r="A40" s="56"/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</row>
    <row r="41" spans="1:15" x14ac:dyDescent="0.7">
      <c r="A41" s="56"/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</row>
    <row r="42" spans="1:15" x14ac:dyDescent="0.7">
      <c r="A42" s="56"/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</row>
    <row r="43" spans="1:15" x14ac:dyDescent="0.7">
      <c r="A43" s="56"/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</row>
  </sheetData>
  <mergeCells count="6">
    <mergeCell ref="C1:M1"/>
    <mergeCell ref="L5:M5"/>
    <mergeCell ref="C5:C16"/>
    <mergeCell ref="C2:I2"/>
    <mergeCell ref="K2:M2"/>
    <mergeCell ref="L6:M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OS">
    <pageSetUpPr autoPageBreaks="0"/>
  </sheetPr>
  <dimension ref="A1:Z1000"/>
  <sheetViews>
    <sheetView tabSelected="1" zoomScaleNormal="100" workbookViewId="0">
      <selection activeCell="T14" sqref="T14"/>
    </sheetView>
  </sheetViews>
  <sheetFormatPr defaultRowHeight="16.2" x14ac:dyDescent="0.7"/>
  <cols>
    <col min="1" max="1" width="16.83984375" style="4" bestFit="1" customWidth="1"/>
    <col min="2" max="2" width="11.68359375" style="4" customWidth="1"/>
    <col min="3" max="3" width="2.41796875" style="4" customWidth="1"/>
    <col min="4" max="4" width="18" style="4" hidden="1" customWidth="1"/>
    <col min="5" max="5" width="14.15625" style="4" hidden="1" customWidth="1"/>
    <col min="6" max="6" width="6.68359375" style="4" hidden="1" customWidth="1"/>
    <col min="7" max="7" width="2.41796875" style="4" hidden="1" customWidth="1"/>
    <col min="8" max="8" width="9.15625" style="4" hidden="1" customWidth="1"/>
    <col min="9" max="9" width="14.26171875" style="4" customWidth="1"/>
    <col min="10" max="10" width="21" style="4" customWidth="1"/>
    <col min="11" max="11" width="10.578125" style="4" customWidth="1"/>
    <col min="12" max="12" width="10.68359375" style="4" customWidth="1"/>
    <col min="13" max="13" width="8.83984375" style="4"/>
    <col min="14" max="14" width="10.15625" style="4" customWidth="1"/>
    <col min="15" max="15" width="5.26171875" style="4" customWidth="1"/>
    <col min="16" max="16" width="6.83984375" style="4" customWidth="1"/>
    <col min="17" max="17" width="2" style="4" customWidth="1"/>
    <col min="18" max="23" width="11.68359375" style="4" customWidth="1"/>
    <col min="24" max="16384" width="8.83984375" style="4"/>
  </cols>
  <sheetData>
    <row r="1" spans="1:26" ht="44.25" customHeight="1" x14ac:dyDescent="0.7">
      <c r="A1" s="1" t="s">
        <v>22</v>
      </c>
      <c r="B1" s="2" t="s">
        <v>23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42.75" customHeight="1" x14ac:dyDescent="0.7">
      <c r="A2" s="1" t="s">
        <v>21</v>
      </c>
      <c r="B2" s="2" t="b">
        <v>0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6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ht="18" customHeight="1" x14ac:dyDescent="0.7">
      <c r="A3" s="1" t="s">
        <v>332</v>
      </c>
      <c r="B3" s="2" t="str">
        <f ca="1">IFERROR(MATCH(P4,Order_ID,0)+2,"")</f>
        <v/>
      </c>
      <c r="C3" s="7"/>
      <c r="D3" s="108" t="s">
        <v>112</v>
      </c>
      <c r="E3" s="108"/>
      <c r="F3" s="108"/>
      <c r="G3" s="7"/>
      <c r="H3" s="7"/>
      <c r="I3" s="8" t="s">
        <v>725</v>
      </c>
      <c r="J3" s="9" t="s">
        <v>0</v>
      </c>
      <c r="K3" s="10" t="s">
        <v>31</v>
      </c>
      <c r="L3" s="110" t="s">
        <v>468</v>
      </c>
      <c r="M3" s="110"/>
      <c r="N3" s="10" t="s">
        <v>777</v>
      </c>
      <c r="O3" s="110" t="s">
        <v>27</v>
      </c>
      <c r="P3" s="110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ht="18" customHeight="1" x14ac:dyDescent="0.7">
      <c r="A4" s="1" t="s">
        <v>119</v>
      </c>
      <c r="B4" s="2">
        <f ca="1">IFERROR(MAX(Order_ID)+1,"10000")</f>
        <v>10011</v>
      </c>
      <c r="C4" s="7"/>
      <c r="D4" s="11" t="s">
        <v>58</v>
      </c>
      <c r="E4" s="11" t="s">
        <v>774</v>
      </c>
      <c r="F4" s="11" t="s">
        <v>36</v>
      </c>
      <c r="G4" s="7"/>
      <c r="H4" s="7"/>
      <c r="I4" s="12" t="str">
        <f>IF(B1="SALE","Customer:","Vendor:")</f>
        <v>Customer:</v>
      </c>
      <c r="J4" s="13"/>
      <c r="K4" s="12" t="s">
        <v>776</v>
      </c>
      <c r="L4" s="112">
        <v>44388.331782407404</v>
      </c>
      <c r="M4" s="112"/>
      <c r="N4" s="111" t="s">
        <v>13</v>
      </c>
      <c r="O4" s="111"/>
      <c r="P4" s="14">
        <v>10011</v>
      </c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ht="18" customHeight="1" x14ac:dyDescent="0.7">
      <c r="A5" s="1" t="s">
        <v>120</v>
      </c>
      <c r="B5" s="2" t="str">
        <f ca="1">IFERROR(MATCH(I3,Order_ID,0)+2,"")</f>
        <v/>
      </c>
      <c r="C5" s="7"/>
      <c r="D5" s="15">
        <v>44387.655219907407</v>
      </c>
      <c r="E5" s="16" t="s">
        <v>71</v>
      </c>
      <c r="F5" s="16">
        <v>10002</v>
      </c>
      <c r="G5" s="7"/>
      <c r="H5" s="7"/>
      <c r="I5" s="17" t="s">
        <v>775</v>
      </c>
      <c r="J5" s="18">
        <v>5045489</v>
      </c>
      <c r="K5" s="7"/>
      <c r="L5" s="7"/>
      <c r="M5" s="7"/>
      <c r="N5" s="7" t="str">
        <f>IF(K5="","",(K5*L5)-(K5*L5)*M5)</f>
        <v/>
      </c>
      <c r="O5" s="7"/>
      <c r="P5" s="109" t="s">
        <v>14</v>
      </c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ht="18" customHeight="1" x14ac:dyDescent="0.7">
      <c r="A6" s="1" t="s">
        <v>25</v>
      </c>
      <c r="B6" s="2">
        <v>8</v>
      </c>
      <c r="C6" s="7"/>
      <c r="D6" s="19">
        <v>44387.654513888891</v>
      </c>
      <c r="E6" s="16" t="s">
        <v>71</v>
      </c>
      <c r="F6" s="16">
        <v>10006</v>
      </c>
      <c r="G6" s="20"/>
      <c r="H6" s="21" t="s">
        <v>780</v>
      </c>
      <c r="I6" s="22" t="s">
        <v>778</v>
      </c>
      <c r="J6" s="23" t="s">
        <v>4</v>
      </c>
      <c r="K6" s="23" t="s">
        <v>5</v>
      </c>
      <c r="L6" s="23" t="s">
        <v>6</v>
      </c>
      <c r="M6" s="23" t="s">
        <v>7</v>
      </c>
      <c r="N6" s="23" t="s">
        <v>8</v>
      </c>
      <c r="O6" s="23"/>
      <c r="P6" s="109"/>
      <c r="Q6" s="7"/>
      <c r="R6" s="7"/>
      <c r="S6" s="7"/>
      <c r="T6" s="7"/>
      <c r="U6" s="7"/>
      <c r="V6" s="7"/>
      <c r="W6" s="7"/>
      <c r="X6" s="7"/>
      <c r="Y6" s="7"/>
      <c r="Z6" s="7"/>
    </row>
    <row r="7" spans="1:26" ht="18" customHeight="1" x14ac:dyDescent="0.75">
      <c r="A7" s="1" t="s">
        <v>779</v>
      </c>
      <c r="B7" s="2">
        <f ca="1">IFERROR(MATCH(J5,Prod_SKU,0)+2,"")</f>
        <v>331</v>
      </c>
      <c r="C7" s="7"/>
      <c r="D7" s="19"/>
      <c r="E7" s="16"/>
      <c r="F7" s="16"/>
      <c r="G7" s="7"/>
      <c r="H7" s="21"/>
      <c r="I7" s="24">
        <v>1234465</v>
      </c>
      <c r="J7" s="25" t="s">
        <v>300</v>
      </c>
      <c r="K7" s="26">
        <v>1</v>
      </c>
      <c r="L7" s="27">
        <v>2.81</v>
      </c>
      <c r="M7" s="28"/>
      <c r="N7" s="29">
        <f>IF(K7="","",(K7*L7)-(K7*L7)*M7)</f>
        <v>2.81</v>
      </c>
      <c r="O7" s="30"/>
      <c r="P7" s="31">
        <f t="shared" ref="P7:P70" ca="1" si="0">IF(I7="","",SUMIFS(OrderItems_Qty,OrderItems_Type,"PURCHASE",OrderItems_SKU,I7)-SUMIFS(OrderItems_Qty,OrderItems_Type,"SALE",OrderItems_SKU,I7))</f>
        <v>0</v>
      </c>
      <c r="Q7" s="7"/>
      <c r="R7" s="7"/>
      <c r="S7" s="7"/>
      <c r="T7" s="7"/>
      <c r="U7" s="7"/>
      <c r="V7" s="7"/>
      <c r="W7" s="7"/>
      <c r="X7" s="7"/>
      <c r="Y7" s="7"/>
      <c r="Z7" s="7"/>
    </row>
    <row r="8" spans="1:26" ht="18" customHeight="1" x14ac:dyDescent="0.75">
      <c r="A8" s="1" t="s">
        <v>726</v>
      </c>
      <c r="B8" s="2">
        <v>5</v>
      </c>
      <c r="C8" s="7"/>
      <c r="D8" s="19"/>
      <c r="E8" s="16"/>
      <c r="F8" s="16"/>
      <c r="G8" s="7"/>
      <c r="H8" s="21"/>
      <c r="I8" s="32">
        <v>5045489</v>
      </c>
      <c r="J8" s="33" t="s">
        <v>480</v>
      </c>
      <c r="K8" s="34">
        <v>1</v>
      </c>
      <c r="L8" s="35">
        <v>3.89</v>
      </c>
      <c r="M8" s="36"/>
      <c r="N8" s="37">
        <f>IF(K8="","",(K8*L8)-(K8*L8)*M8)</f>
        <v>3.89</v>
      </c>
      <c r="O8" s="38"/>
      <c r="P8" s="34">
        <f t="shared" ca="1" si="0"/>
        <v>0</v>
      </c>
      <c r="Q8" s="7"/>
      <c r="R8" s="7"/>
      <c r="S8" s="7"/>
      <c r="T8" s="7"/>
      <c r="U8" s="7"/>
      <c r="V8" s="7"/>
      <c r="W8" s="7"/>
      <c r="X8" s="7"/>
      <c r="Y8" s="7"/>
      <c r="Z8" s="7"/>
    </row>
    <row r="9" spans="1:26" ht="18" customHeight="1" x14ac:dyDescent="0.75">
      <c r="A9" s="1" t="s">
        <v>15</v>
      </c>
      <c r="B9" s="2">
        <v>1</v>
      </c>
      <c r="C9" s="7"/>
      <c r="D9" s="19"/>
      <c r="E9" s="16"/>
      <c r="F9" s="16"/>
      <c r="G9" s="7"/>
      <c r="H9" s="21"/>
      <c r="I9" s="32"/>
      <c r="J9" s="33"/>
      <c r="K9" s="34"/>
      <c r="L9" s="35"/>
      <c r="M9" s="36"/>
      <c r="N9" s="37"/>
      <c r="O9" s="38"/>
      <c r="P9" s="34" t="str">
        <f t="shared" si="0"/>
        <v/>
      </c>
      <c r="Q9" s="7"/>
      <c r="R9" s="7"/>
      <c r="S9" s="7"/>
      <c r="T9" s="7"/>
      <c r="U9" s="7"/>
      <c r="V9" s="7"/>
      <c r="W9" s="7"/>
      <c r="X9" s="7"/>
      <c r="Y9" s="7"/>
      <c r="Z9" s="7"/>
    </row>
    <row r="10" spans="1:26" ht="18" customHeight="1" x14ac:dyDescent="0.75">
      <c r="A10" s="1" t="s">
        <v>33</v>
      </c>
      <c r="B10" s="2">
        <f ca="1">IFERROR(MATCH(B9,User_ID,0)+2,"")</f>
        <v>3</v>
      </c>
      <c r="C10" s="7"/>
      <c r="D10" s="19"/>
      <c r="E10" s="16"/>
      <c r="F10" s="16"/>
      <c r="G10" s="7"/>
      <c r="H10" s="21"/>
      <c r="I10" s="32"/>
      <c r="J10" s="33"/>
      <c r="K10" s="34"/>
      <c r="L10" s="35"/>
      <c r="M10" s="36"/>
      <c r="N10" s="37"/>
      <c r="O10" s="38"/>
      <c r="P10" s="34" t="str">
        <f t="shared" si="0"/>
        <v/>
      </c>
      <c r="Q10" s="7"/>
      <c r="R10" s="7"/>
      <c r="S10" s="7"/>
      <c r="T10" s="7"/>
      <c r="U10" s="7"/>
      <c r="V10" s="7"/>
      <c r="W10" s="7"/>
      <c r="X10" s="7"/>
      <c r="Y10" s="7"/>
      <c r="Z10" s="7"/>
    </row>
    <row r="11" spans="1:26" ht="18" customHeight="1" x14ac:dyDescent="0.75">
      <c r="A11" s="1" t="s">
        <v>727</v>
      </c>
      <c r="B11" s="2" t="str">
        <f ca="1">IFERROR(INDEX(User_Role,B10-2,1),"")</f>
        <v>Manager</v>
      </c>
      <c r="C11" s="7"/>
      <c r="D11" s="19"/>
      <c r="E11" s="16"/>
      <c r="F11" s="16"/>
      <c r="G11" s="7"/>
      <c r="H11" s="21"/>
      <c r="I11" s="32"/>
      <c r="J11" s="39"/>
      <c r="K11" s="34"/>
      <c r="L11" s="35"/>
      <c r="M11" s="36"/>
      <c r="N11" s="37"/>
      <c r="O11" s="38"/>
      <c r="P11" s="34" t="str">
        <f t="shared" si="0"/>
        <v/>
      </c>
      <c r="Q11" s="7"/>
      <c r="R11" s="7"/>
      <c r="S11" s="7"/>
      <c r="T11" s="7"/>
      <c r="U11" s="7"/>
      <c r="V11" s="7"/>
      <c r="W11" s="7"/>
      <c r="X11" s="7"/>
      <c r="Y11" s="7"/>
      <c r="Z11" s="7"/>
    </row>
    <row r="12" spans="1:26" ht="18" customHeight="1" x14ac:dyDescent="0.75">
      <c r="A12" s="40"/>
      <c r="B12" s="40"/>
      <c r="C12" s="7"/>
      <c r="D12" s="19"/>
      <c r="E12" s="16"/>
      <c r="F12" s="16"/>
      <c r="G12" s="7"/>
      <c r="H12" s="21"/>
      <c r="I12" s="32"/>
      <c r="J12" s="39"/>
      <c r="K12" s="34"/>
      <c r="L12" s="35"/>
      <c r="M12" s="36"/>
      <c r="N12" s="37"/>
      <c r="O12" s="38"/>
      <c r="P12" s="34" t="str">
        <f t="shared" si="0"/>
        <v/>
      </c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ht="18" customHeight="1" x14ac:dyDescent="0.75">
      <c r="A13" s="41" t="s">
        <v>18</v>
      </c>
      <c r="B13" s="42">
        <f>SUM(N7:N999)</f>
        <v>6.7</v>
      </c>
      <c r="C13" s="7"/>
      <c r="D13" s="19"/>
      <c r="E13" s="16"/>
      <c r="F13" s="16"/>
      <c r="G13" s="7"/>
      <c r="H13" s="21"/>
      <c r="I13" s="32"/>
      <c r="J13" s="39"/>
      <c r="K13" s="34"/>
      <c r="L13" s="43"/>
      <c r="M13" s="36"/>
      <c r="N13" s="44"/>
      <c r="O13" s="38"/>
      <c r="P13" s="34" t="str">
        <f t="shared" si="0"/>
        <v/>
      </c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ht="18" customHeight="1" x14ac:dyDescent="0.75">
      <c r="A14" s="41" t="str">
        <f>TaxName&amp;"("&amp;TEXT(TaxRate,"0.00%")&amp;"):"</f>
        <v>Tax(20.00%):</v>
      </c>
      <c r="B14" s="42">
        <f>B13*TaxRate</f>
        <v>1.34</v>
      </c>
      <c r="C14" s="7"/>
      <c r="D14" s="19"/>
      <c r="E14" s="16"/>
      <c r="F14" s="16"/>
      <c r="G14" s="7"/>
      <c r="H14" s="21"/>
      <c r="I14" s="32"/>
      <c r="J14" s="39"/>
      <c r="K14" s="34"/>
      <c r="L14" s="43"/>
      <c r="M14" s="36"/>
      <c r="N14" s="44"/>
      <c r="O14" s="38"/>
      <c r="P14" s="34" t="str">
        <f t="shared" si="0"/>
        <v/>
      </c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ht="18" customHeight="1" x14ac:dyDescent="0.75">
      <c r="A15" s="41" t="s">
        <v>8</v>
      </c>
      <c r="B15" s="42">
        <f>SUM(B13:B14)</f>
        <v>8.0400000000000009</v>
      </c>
      <c r="C15" s="7"/>
      <c r="D15" s="19"/>
      <c r="E15" s="16"/>
      <c r="F15" s="16"/>
      <c r="G15" s="7"/>
      <c r="H15" s="21"/>
      <c r="I15" s="32"/>
      <c r="J15" s="33"/>
      <c r="K15" s="34"/>
      <c r="L15" s="43"/>
      <c r="M15" s="36"/>
      <c r="N15" s="44"/>
      <c r="O15" s="38"/>
      <c r="P15" s="34" t="str">
        <f t="shared" si="0"/>
        <v/>
      </c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ht="18" customHeight="1" x14ac:dyDescent="0.75">
      <c r="A16" s="41" t="s">
        <v>19</v>
      </c>
      <c r="B16" s="45"/>
      <c r="C16" s="7"/>
      <c r="D16" s="19"/>
      <c r="E16" s="16"/>
      <c r="F16" s="16"/>
      <c r="G16" s="7"/>
      <c r="H16" s="21"/>
      <c r="I16" s="32"/>
      <c r="J16" s="33"/>
      <c r="K16" s="34"/>
      <c r="L16" s="43"/>
      <c r="M16" s="36"/>
      <c r="N16" s="44"/>
      <c r="O16" s="38"/>
      <c r="P16" s="34" t="str">
        <f t="shared" si="0"/>
        <v/>
      </c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ht="18" customHeight="1" x14ac:dyDescent="0.75">
      <c r="A17" s="41" t="s">
        <v>20</v>
      </c>
      <c r="B17" s="45" t="str">
        <f>IF(B16="","",B16-B15)</f>
        <v/>
      </c>
      <c r="C17" s="7"/>
      <c r="D17" s="19"/>
      <c r="E17" s="16"/>
      <c r="F17" s="16"/>
      <c r="G17" s="7"/>
      <c r="H17" s="21"/>
      <c r="I17" s="32"/>
      <c r="J17" s="33"/>
      <c r="K17" s="34"/>
      <c r="L17" s="43"/>
      <c r="M17" s="36"/>
      <c r="N17" s="44"/>
      <c r="O17" s="38"/>
      <c r="P17" s="34" t="str">
        <f t="shared" si="0"/>
        <v/>
      </c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ht="18" customHeight="1" x14ac:dyDescent="0.75">
      <c r="A18" s="40"/>
      <c r="B18" s="40"/>
      <c r="C18" s="7"/>
      <c r="D18" s="19"/>
      <c r="E18" s="16"/>
      <c r="F18" s="16"/>
      <c r="G18" s="7"/>
      <c r="H18" s="21"/>
      <c r="I18" s="32"/>
      <c r="J18" s="33"/>
      <c r="K18" s="34"/>
      <c r="L18" s="43"/>
      <c r="M18" s="36"/>
      <c r="N18" s="44"/>
      <c r="O18" s="38"/>
      <c r="P18" s="34" t="str">
        <f t="shared" si="0"/>
        <v/>
      </c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ht="18" customHeight="1" x14ac:dyDescent="0.75">
      <c r="A19" s="46" t="s">
        <v>781</v>
      </c>
      <c r="B19" s="46" t="b">
        <f ca="1">IFERROR(IF(AND(B1="SALE",ISERROR(MATCH(J4,Customer_Name,0)=TRUE)),TRUE,FALSE),FALSE)</f>
        <v>1</v>
      </c>
      <c r="C19" s="7"/>
      <c r="D19" s="19"/>
      <c r="E19" s="16"/>
      <c r="F19" s="16"/>
      <c r="G19" s="7"/>
      <c r="H19" s="20"/>
      <c r="I19" s="32"/>
      <c r="J19" s="33"/>
      <c r="K19" s="34"/>
      <c r="L19" s="44"/>
      <c r="M19" s="36"/>
      <c r="N19" s="44"/>
      <c r="O19" s="38"/>
      <c r="P19" s="34" t="str">
        <f t="shared" si="0"/>
        <v/>
      </c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ht="18" customHeight="1" x14ac:dyDescent="0.75">
      <c r="A20" s="46" t="s">
        <v>782</v>
      </c>
      <c r="B20" s="46" t="b">
        <f ca="1">IFERROR(IF(AND(B1="PURCHASE",ISERROR(MATCH(J4,Vendor_Name,0)=TRUE)),TRUE,FALSE),FALSE)</f>
        <v>0</v>
      </c>
      <c r="C20" s="7"/>
      <c r="D20" s="19"/>
      <c r="E20" s="16"/>
      <c r="F20" s="16"/>
      <c r="G20" s="7"/>
      <c r="H20" s="20"/>
      <c r="I20" s="32"/>
      <c r="J20" s="33"/>
      <c r="K20" s="34"/>
      <c r="L20" s="44"/>
      <c r="M20" s="36"/>
      <c r="N20" s="44"/>
      <c r="O20" s="38"/>
      <c r="P20" s="34" t="str">
        <f t="shared" si="0"/>
        <v/>
      </c>
      <c r="Q20" s="7"/>
      <c r="R20" s="7"/>
      <c r="S20" s="7"/>
      <c r="T20" s="7"/>
      <c r="U20" s="7"/>
      <c r="V20" s="7"/>
      <c r="W20" s="7"/>
      <c r="X20" s="7"/>
      <c r="Y20" s="7"/>
      <c r="Z20" s="7"/>
    </row>
    <row r="21" spans="1:26" ht="18" customHeight="1" x14ac:dyDescent="0.75">
      <c r="A21" s="40"/>
      <c r="B21" s="40"/>
      <c r="C21" s="7"/>
      <c r="D21" s="19"/>
      <c r="E21" s="16"/>
      <c r="F21" s="16"/>
      <c r="G21" s="7"/>
      <c r="H21" s="20"/>
      <c r="I21" s="32"/>
      <c r="J21" s="33"/>
      <c r="K21" s="34"/>
      <c r="L21" s="44"/>
      <c r="M21" s="36"/>
      <c r="N21" s="44"/>
      <c r="O21" s="38"/>
      <c r="P21" s="34" t="str">
        <f t="shared" si="0"/>
        <v/>
      </c>
      <c r="Q21" s="7"/>
      <c r="R21" s="7"/>
      <c r="S21" s="7"/>
      <c r="T21" s="7"/>
      <c r="U21" s="7"/>
      <c r="V21" s="7"/>
      <c r="W21" s="7"/>
      <c r="X21" s="7"/>
      <c r="Y21" s="7"/>
      <c r="Z21" s="7"/>
    </row>
    <row r="22" spans="1:26" ht="18" customHeight="1" x14ac:dyDescent="0.75">
      <c r="A22" s="40"/>
      <c r="B22" s="40"/>
      <c r="C22" s="7"/>
      <c r="D22" s="19"/>
      <c r="E22" s="16"/>
      <c r="F22" s="16"/>
      <c r="G22" s="7"/>
      <c r="H22" s="20"/>
      <c r="I22" s="32"/>
      <c r="J22" s="33"/>
      <c r="K22" s="34"/>
      <c r="L22" s="44"/>
      <c r="M22" s="36"/>
      <c r="N22" s="44"/>
      <c r="O22" s="38"/>
      <c r="P22" s="34" t="str">
        <f t="shared" si="0"/>
        <v/>
      </c>
      <c r="Q22" s="7"/>
      <c r="R22" s="7"/>
      <c r="S22" s="7"/>
      <c r="T22" s="7"/>
      <c r="U22" s="7"/>
      <c r="V22" s="7"/>
      <c r="W22" s="7"/>
      <c r="X22" s="7"/>
      <c r="Y22" s="7"/>
      <c r="Z22" s="7"/>
    </row>
    <row r="23" spans="1:26" ht="18" customHeight="1" x14ac:dyDescent="0.75">
      <c r="A23" s="40"/>
      <c r="B23" s="40"/>
      <c r="C23" s="7"/>
      <c r="D23" s="19"/>
      <c r="E23" s="16"/>
      <c r="F23" s="16"/>
      <c r="G23" s="7"/>
      <c r="H23" s="20"/>
      <c r="I23" s="32"/>
      <c r="J23" s="33"/>
      <c r="K23" s="34"/>
      <c r="L23" s="44"/>
      <c r="M23" s="36"/>
      <c r="N23" s="44"/>
      <c r="O23" s="38"/>
      <c r="P23" s="34" t="str">
        <f t="shared" si="0"/>
        <v/>
      </c>
      <c r="Q23" s="7"/>
      <c r="R23" s="7"/>
      <c r="S23" s="7"/>
      <c r="T23" s="7"/>
      <c r="U23" s="7"/>
      <c r="V23" s="7"/>
      <c r="W23" s="7"/>
      <c r="X23" s="7"/>
      <c r="Y23" s="7"/>
      <c r="Z23" s="7"/>
    </row>
    <row r="24" spans="1:26" ht="18" customHeight="1" x14ac:dyDescent="0.75">
      <c r="A24" s="40"/>
      <c r="B24" s="40"/>
      <c r="C24" s="7"/>
      <c r="D24" s="19"/>
      <c r="E24" s="16"/>
      <c r="F24" s="16"/>
      <c r="G24" s="7"/>
      <c r="H24" s="20"/>
      <c r="I24" s="32"/>
      <c r="J24" s="33"/>
      <c r="K24" s="34"/>
      <c r="L24" s="44"/>
      <c r="M24" s="36"/>
      <c r="N24" s="44"/>
      <c r="O24" s="38"/>
      <c r="P24" s="34" t="str">
        <f t="shared" si="0"/>
        <v/>
      </c>
      <c r="Q24" s="7"/>
      <c r="R24" s="7"/>
      <c r="S24" s="7"/>
      <c r="T24" s="7"/>
      <c r="U24" s="7"/>
      <c r="V24" s="7"/>
      <c r="W24" s="7"/>
      <c r="X24" s="7"/>
      <c r="Y24" s="7"/>
      <c r="Z24" s="7"/>
    </row>
    <row r="25" spans="1:26" ht="17.5" customHeight="1" x14ac:dyDescent="0.7">
      <c r="A25" s="40"/>
      <c r="B25" s="40"/>
      <c r="C25" s="7"/>
      <c r="D25" s="19"/>
      <c r="E25" s="16"/>
      <c r="F25" s="16"/>
      <c r="G25" s="7"/>
      <c r="H25" s="20"/>
      <c r="I25" s="47"/>
      <c r="J25" s="48"/>
      <c r="K25" s="20"/>
      <c r="L25" s="49"/>
      <c r="M25" s="50"/>
      <c r="N25" s="49"/>
      <c r="O25" s="51"/>
      <c r="P25" s="20" t="str">
        <f t="shared" si="0"/>
        <v/>
      </c>
      <c r="Q25" s="7"/>
      <c r="R25" s="7"/>
      <c r="S25" s="7"/>
      <c r="T25" s="7"/>
      <c r="U25" s="7"/>
      <c r="V25" s="7"/>
      <c r="W25" s="7"/>
      <c r="X25" s="7"/>
      <c r="Y25" s="7"/>
      <c r="Z25" s="7"/>
    </row>
    <row r="26" spans="1:26" ht="17.5" customHeight="1" x14ac:dyDescent="0.7">
      <c r="A26" s="40"/>
      <c r="B26" s="40"/>
      <c r="C26" s="7"/>
      <c r="D26" s="19"/>
      <c r="E26" s="16"/>
      <c r="F26" s="16"/>
      <c r="G26" s="7"/>
      <c r="H26" s="20"/>
      <c r="I26" s="47"/>
      <c r="J26" s="48"/>
      <c r="K26" s="20"/>
      <c r="L26" s="49"/>
      <c r="M26" s="50"/>
      <c r="N26" s="49"/>
      <c r="O26" s="51"/>
      <c r="P26" s="20" t="str">
        <f t="shared" si="0"/>
        <v/>
      </c>
      <c r="Q26" s="7"/>
      <c r="R26" s="7"/>
      <c r="S26" s="7"/>
      <c r="T26" s="7"/>
      <c r="U26" s="7"/>
      <c r="V26" s="7"/>
      <c r="W26" s="7"/>
      <c r="X26" s="7"/>
      <c r="Y26" s="7"/>
      <c r="Z26" s="7"/>
    </row>
    <row r="27" spans="1:26" ht="17.5" customHeight="1" x14ac:dyDescent="0.7">
      <c r="A27" s="40"/>
      <c r="B27" s="40"/>
      <c r="C27" s="7"/>
      <c r="D27" s="19"/>
      <c r="E27" s="16"/>
      <c r="F27" s="16"/>
      <c r="G27" s="7"/>
      <c r="H27" s="20"/>
      <c r="I27" s="47"/>
      <c r="J27" s="48"/>
      <c r="K27" s="20"/>
      <c r="L27" s="49"/>
      <c r="M27" s="50"/>
      <c r="N27" s="49"/>
      <c r="O27" s="51"/>
      <c r="P27" s="20" t="str">
        <f t="shared" si="0"/>
        <v/>
      </c>
      <c r="Q27" s="7"/>
      <c r="R27" s="7"/>
      <c r="S27" s="7"/>
      <c r="T27" s="7"/>
      <c r="U27" s="7"/>
      <c r="V27" s="7"/>
      <c r="W27" s="7"/>
      <c r="X27" s="7"/>
      <c r="Y27" s="7"/>
      <c r="Z27" s="7"/>
    </row>
    <row r="28" spans="1:26" ht="17.5" customHeight="1" x14ac:dyDescent="0.7">
      <c r="A28" s="40"/>
      <c r="B28" s="40"/>
      <c r="C28" s="7"/>
      <c r="D28" s="19"/>
      <c r="E28" s="16"/>
      <c r="F28" s="16"/>
      <c r="G28" s="7"/>
      <c r="H28" s="20"/>
      <c r="I28" s="47"/>
      <c r="J28" s="48"/>
      <c r="K28" s="20"/>
      <c r="L28" s="49"/>
      <c r="M28" s="50"/>
      <c r="N28" s="49"/>
      <c r="O28" s="51"/>
      <c r="P28" s="20" t="str">
        <f t="shared" si="0"/>
        <v/>
      </c>
      <c r="Q28" s="7"/>
      <c r="R28" s="7"/>
      <c r="S28" s="7"/>
      <c r="T28" s="7"/>
      <c r="U28" s="7"/>
      <c r="V28" s="7"/>
      <c r="W28" s="7"/>
      <c r="X28" s="7"/>
      <c r="Y28" s="7"/>
      <c r="Z28" s="7"/>
    </row>
    <row r="29" spans="1:26" ht="17.5" customHeight="1" x14ac:dyDescent="0.7">
      <c r="A29" s="40"/>
      <c r="B29" s="40"/>
      <c r="C29" s="7"/>
      <c r="D29" s="19"/>
      <c r="E29" s="16"/>
      <c r="F29" s="16"/>
      <c r="G29" s="7"/>
      <c r="H29" s="20"/>
      <c r="I29" s="47"/>
      <c r="J29" s="48"/>
      <c r="K29" s="20"/>
      <c r="L29" s="49"/>
      <c r="M29" s="50"/>
      <c r="N29" s="49"/>
      <c r="O29" s="51"/>
      <c r="P29" s="48" t="str">
        <f t="shared" si="0"/>
        <v/>
      </c>
      <c r="Q29" s="7"/>
      <c r="R29" s="7"/>
      <c r="S29" s="7"/>
      <c r="T29" s="7"/>
      <c r="U29" s="7"/>
      <c r="V29" s="7"/>
      <c r="W29" s="7"/>
      <c r="X29" s="7"/>
      <c r="Y29" s="7"/>
      <c r="Z29" s="7"/>
    </row>
    <row r="30" spans="1:26" ht="17.5" customHeight="1" x14ac:dyDescent="0.7">
      <c r="A30" s="40"/>
      <c r="B30" s="40"/>
      <c r="C30" s="7"/>
      <c r="D30" s="19"/>
      <c r="E30" s="16"/>
      <c r="F30" s="16"/>
      <c r="G30" s="7"/>
      <c r="H30" s="20"/>
      <c r="I30" s="52"/>
      <c r="J30" s="7"/>
      <c r="K30" s="20"/>
      <c r="L30" s="53"/>
      <c r="M30" s="7"/>
      <c r="N30" s="53"/>
      <c r="O30" s="54"/>
      <c r="P30" s="7" t="str">
        <f t="shared" si="0"/>
        <v/>
      </c>
      <c r="Q30" s="7"/>
      <c r="R30" s="7"/>
      <c r="S30" s="7"/>
      <c r="T30" s="7"/>
      <c r="U30" s="7"/>
      <c r="V30" s="7"/>
      <c r="W30" s="7"/>
      <c r="X30" s="7"/>
      <c r="Y30" s="7"/>
      <c r="Z30" s="7"/>
    </row>
    <row r="31" spans="1:26" ht="17.5" customHeight="1" x14ac:dyDescent="0.7">
      <c r="A31" s="40"/>
      <c r="B31" s="40"/>
      <c r="C31" s="7"/>
      <c r="D31" s="19"/>
      <c r="E31" s="16"/>
      <c r="F31" s="16"/>
      <c r="G31" s="7"/>
      <c r="H31" s="20"/>
      <c r="I31" s="52"/>
      <c r="J31" s="7"/>
      <c r="K31" s="20"/>
      <c r="L31" s="53"/>
      <c r="M31" s="7"/>
      <c r="N31" s="53"/>
      <c r="O31" s="54"/>
      <c r="P31" s="7" t="str">
        <f t="shared" si="0"/>
        <v/>
      </c>
      <c r="Q31" s="7"/>
      <c r="R31" s="7"/>
      <c r="S31" s="7"/>
      <c r="T31" s="7"/>
      <c r="U31" s="7"/>
      <c r="V31" s="7"/>
      <c r="W31" s="7"/>
      <c r="X31" s="7"/>
      <c r="Y31" s="7"/>
      <c r="Z31" s="7"/>
    </row>
    <row r="32" spans="1:26" ht="17.5" customHeight="1" x14ac:dyDescent="0.7">
      <c r="A32" s="40"/>
      <c r="B32" s="40"/>
      <c r="C32" s="7"/>
      <c r="D32" s="19"/>
      <c r="E32" s="16"/>
      <c r="F32" s="16"/>
      <c r="G32" s="7"/>
      <c r="H32" s="20"/>
      <c r="I32" s="52"/>
      <c r="J32" s="7"/>
      <c r="K32" s="20"/>
      <c r="L32" s="53"/>
      <c r="M32" s="7"/>
      <c r="N32" s="53"/>
      <c r="O32" s="54"/>
      <c r="P32" s="7" t="str">
        <f t="shared" si="0"/>
        <v/>
      </c>
      <c r="Q32" s="7"/>
      <c r="R32" s="7"/>
      <c r="S32" s="7"/>
      <c r="T32" s="7"/>
      <c r="U32" s="7"/>
      <c r="V32" s="7"/>
      <c r="W32" s="7"/>
      <c r="X32" s="7"/>
      <c r="Y32" s="7"/>
      <c r="Z32" s="7"/>
    </row>
    <row r="33" spans="1:26" ht="17.5" customHeight="1" x14ac:dyDescent="0.7">
      <c r="A33" s="40"/>
      <c r="B33" s="40"/>
      <c r="C33" s="7"/>
      <c r="D33" s="19"/>
      <c r="E33" s="16"/>
      <c r="F33" s="16"/>
      <c r="G33" s="7"/>
      <c r="H33" s="20"/>
      <c r="I33" s="52"/>
      <c r="J33" s="7"/>
      <c r="K33" s="20"/>
      <c r="L33" s="53"/>
      <c r="M33" s="7"/>
      <c r="N33" s="53"/>
      <c r="O33" s="54"/>
      <c r="P33" s="7" t="str">
        <f t="shared" si="0"/>
        <v/>
      </c>
      <c r="Q33" s="7"/>
      <c r="R33" s="7"/>
      <c r="S33" s="7"/>
      <c r="T33" s="7"/>
      <c r="U33" s="7"/>
      <c r="V33" s="7"/>
      <c r="W33" s="7"/>
      <c r="X33" s="7"/>
      <c r="Y33" s="7"/>
      <c r="Z33" s="7"/>
    </row>
    <row r="34" spans="1:26" ht="17.5" customHeight="1" x14ac:dyDescent="0.7">
      <c r="A34" s="40"/>
      <c r="B34" s="40"/>
      <c r="C34" s="7"/>
      <c r="D34" s="19"/>
      <c r="E34" s="16"/>
      <c r="F34" s="16"/>
      <c r="G34" s="7"/>
      <c r="H34" s="20"/>
      <c r="I34" s="52"/>
      <c r="J34" s="7"/>
      <c r="K34" s="20"/>
      <c r="L34" s="7"/>
      <c r="M34" s="7"/>
      <c r="N34" s="53"/>
      <c r="O34" s="54"/>
      <c r="P34" s="7" t="str">
        <f t="shared" si="0"/>
        <v/>
      </c>
      <c r="Q34" s="7"/>
      <c r="R34" s="7"/>
      <c r="S34" s="7"/>
      <c r="T34" s="7"/>
      <c r="U34" s="7"/>
      <c r="V34" s="7"/>
      <c r="W34" s="7"/>
      <c r="X34" s="7"/>
      <c r="Y34" s="7"/>
      <c r="Z34" s="7"/>
    </row>
    <row r="35" spans="1:26" ht="17.5" customHeight="1" x14ac:dyDescent="0.7">
      <c r="A35" s="40"/>
      <c r="B35" s="40"/>
      <c r="C35" s="7"/>
      <c r="D35" s="19"/>
      <c r="E35" s="16"/>
      <c r="F35" s="16"/>
      <c r="G35" s="7"/>
      <c r="H35" s="20"/>
      <c r="I35" s="52"/>
      <c r="J35" s="7"/>
      <c r="K35" s="20"/>
      <c r="L35" s="7"/>
      <c r="M35" s="7"/>
      <c r="N35" s="53"/>
      <c r="O35" s="54"/>
      <c r="P35" s="7" t="str">
        <f t="shared" si="0"/>
        <v/>
      </c>
      <c r="Q35" s="7"/>
      <c r="R35" s="7"/>
      <c r="S35" s="7"/>
      <c r="T35" s="7"/>
      <c r="U35" s="7"/>
      <c r="V35" s="7"/>
      <c r="W35" s="7"/>
      <c r="X35" s="7"/>
      <c r="Y35" s="7"/>
      <c r="Z35" s="7"/>
    </row>
    <row r="36" spans="1:26" ht="17.5" customHeight="1" x14ac:dyDescent="0.7">
      <c r="A36" s="40"/>
      <c r="B36" s="40"/>
      <c r="C36" s="7"/>
      <c r="D36" s="19"/>
      <c r="E36" s="16"/>
      <c r="F36" s="16"/>
      <c r="G36" s="7"/>
      <c r="H36" s="20"/>
      <c r="I36" s="52"/>
      <c r="J36" s="7"/>
      <c r="K36" s="20"/>
      <c r="L36" s="7"/>
      <c r="M36" s="7"/>
      <c r="N36" s="53"/>
      <c r="O36" s="54"/>
      <c r="P36" s="7" t="str">
        <f t="shared" si="0"/>
        <v/>
      </c>
      <c r="Q36" s="7"/>
      <c r="R36" s="7"/>
      <c r="S36" s="7"/>
      <c r="T36" s="7"/>
      <c r="U36" s="7"/>
      <c r="V36" s="7"/>
      <c r="W36" s="7"/>
      <c r="X36" s="7"/>
      <c r="Y36" s="7"/>
      <c r="Z36" s="7"/>
    </row>
    <row r="37" spans="1:26" ht="17.5" customHeight="1" x14ac:dyDescent="0.7">
      <c r="A37" s="40"/>
      <c r="B37" s="40"/>
      <c r="C37" s="7"/>
      <c r="D37" s="19"/>
      <c r="E37" s="16"/>
      <c r="F37" s="16"/>
      <c r="G37" s="7"/>
      <c r="H37" s="20"/>
      <c r="I37" s="52"/>
      <c r="J37" s="7"/>
      <c r="K37" s="20"/>
      <c r="L37" s="7"/>
      <c r="M37" s="7"/>
      <c r="N37" s="53"/>
      <c r="O37" s="54"/>
      <c r="P37" s="7" t="str">
        <f t="shared" si="0"/>
        <v/>
      </c>
      <c r="Q37" s="7"/>
      <c r="R37" s="7"/>
      <c r="S37" s="7"/>
      <c r="T37" s="7"/>
      <c r="U37" s="7"/>
      <c r="V37" s="7"/>
      <c r="W37" s="7"/>
      <c r="X37" s="7"/>
      <c r="Y37" s="7"/>
      <c r="Z37" s="7"/>
    </row>
    <row r="38" spans="1:26" ht="17.5" customHeight="1" x14ac:dyDescent="0.7">
      <c r="A38" s="40"/>
      <c r="B38" s="40"/>
      <c r="C38" s="7"/>
      <c r="D38" s="19"/>
      <c r="E38" s="16"/>
      <c r="F38" s="16"/>
      <c r="G38" s="7"/>
      <c r="H38" s="20"/>
      <c r="I38" s="52"/>
      <c r="J38" s="7"/>
      <c r="K38" s="7"/>
      <c r="L38" s="7"/>
      <c r="M38" s="7"/>
      <c r="N38" s="53"/>
      <c r="O38" s="54"/>
      <c r="P38" s="7" t="str">
        <f t="shared" si="0"/>
        <v/>
      </c>
      <c r="Q38" s="7"/>
      <c r="R38" s="7"/>
      <c r="S38" s="7"/>
      <c r="T38" s="7"/>
      <c r="U38" s="7"/>
      <c r="V38" s="7"/>
      <c r="W38" s="7"/>
      <c r="X38" s="7"/>
      <c r="Y38" s="7"/>
      <c r="Z38" s="7"/>
    </row>
    <row r="39" spans="1:26" ht="17.5" customHeight="1" x14ac:dyDescent="0.7">
      <c r="A39" s="55"/>
      <c r="B39" s="55"/>
      <c r="C39" s="7"/>
      <c r="D39" s="19"/>
      <c r="E39" s="16"/>
      <c r="F39" s="16"/>
      <c r="G39" s="7"/>
      <c r="H39" s="20"/>
      <c r="I39" s="52"/>
      <c r="J39" s="7"/>
      <c r="K39" s="7"/>
      <c r="L39" s="7"/>
      <c r="M39" s="7"/>
      <c r="N39" s="53"/>
      <c r="O39" s="54"/>
      <c r="P39" s="7" t="str">
        <f t="shared" si="0"/>
        <v/>
      </c>
      <c r="Q39" s="7"/>
      <c r="R39" s="7"/>
      <c r="S39" s="7"/>
      <c r="T39" s="7"/>
      <c r="U39" s="7"/>
      <c r="V39" s="7"/>
      <c r="W39" s="7"/>
      <c r="X39" s="7"/>
      <c r="Y39" s="7"/>
      <c r="Z39" s="7"/>
    </row>
    <row r="40" spans="1:26" ht="17.5" customHeight="1" x14ac:dyDescent="0.7">
      <c r="A40" s="55"/>
      <c r="B40" s="55"/>
      <c r="C40" s="7"/>
      <c r="D40" s="19"/>
      <c r="E40" s="16"/>
      <c r="F40" s="16"/>
      <c r="G40" s="7"/>
      <c r="H40" s="7"/>
      <c r="I40" s="52"/>
      <c r="J40" s="7"/>
      <c r="K40" s="7"/>
      <c r="L40" s="7"/>
      <c r="M40" s="7"/>
      <c r="N40" s="53"/>
      <c r="O40" s="54"/>
      <c r="P40" s="7" t="str">
        <f t="shared" si="0"/>
        <v/>
      </c>
      <c r="Q40" s="7"/>
      <c r="R40" s="7"/>
      <c r="S40" s="7"/>
      <c r="T40" s="7"/>
      <c r="U40" s="7"/>
      <c r="V40" s="7"/>
      <c r="W40" s="7"/>
      <c r="X40" s="7"/>
      <c r="Y40" s="7"/>
      <c r="Z40" s="7"/>
    </row>
    <row r="41" spans="1:26" ht="17.5" customHeight="1" x14ac:dyDescent="0.7">
      <c r="A41" s="55"/>
      <c r="B41" s="55"/>
      <c r="C41" s="7"/>
      <c r="D41" s="19"/>
      <c r="E41" s="16"/>
      <c r="F41" s="16"/>
      <c r="G41" s="7"/>
      <c r="H41" s="7"/>
      <c r="I41" s="52"/>
      <c r="J41" s="7"/>
      <c r="K41" s="7"/>
      <c r="L41" s="7"/>
      <c r="M41" s="7"/>
      <c r="N41" s="53"/>
      <c r="O41" s="54"/>
      <c r="P41" s="7" t="str">
        <f t="shared" si="0"/>
        <v/>
      </c>
      <c r="Q41" s="7"/>
      <c r="R41" s="7"/>
      <c r="S41" s="7"/>
      <c r="T41" s="7"/>
      <c r="U41" s="7"/>
      <c r="V41" s="7"/>
      <c r="W41" s="7"/>
      <c r="X41" s="7"/>
      <c r="Y41" s="7"/>
      <c r="Z41" s="7"/>
    </row>
    <row r="42" spans="1:26" ht="17.5" customHeight="1" x14ac:dyDescent="0.7">
      <c r="A42" s="55"/>
      <c r="B42" s="55"/>
      <c r="C42" s="7"/>
      <c r="D42" s="19"/>
      <c r="E42" s="16"/>
      <c r="F42" s="16"/>
      <c r="G42" s="7"/>
      <c r="H42" s="7"/>
      <c r="I42" s="52"/>
      <c r="J42" s="7"/>
      <c r="K42" s="7"/>
      <c r="L42" s="7"/>
      <c r="M42" s="7"/>
      <c r="N42" s="53"/>
      <c r="O42" s="54"/>
      <c r="P42" s="7" t="str">
        <f t="shared" si="0"/>
        <v/>
      </c>
      <c r="Q42" s="7"/>
      <c r="R42" s="7"/>
      <c r="S42" s="7"/>
      <c r="T42" s="7"/>
      <c r="U42" s="7"/>
      <c r="V42" s="7"/>
      <c r="W42" s="7"/>
      <c r="X42" s="7"/>
      <c r="Y42" s="7"/>
      <c r="Z42" s="7"/>
    </row>
    <row r="43" spans="1:26" ht="17.5" customHeight="1" x14ac:dyDescent="0.7">
      <c r="A43" s="55"/>
      <c r="B43" s="55"/>
      <c r="C43" s="7"/>
      <c r="D43" s="19"/>
      <c r="E43" s="16"/>
      <c r="F43" s="16"/>
      <c r="G43" s="7"/>
      <c r="H43" s="7"/>
      <c r="I43" s="52"/>
      <c r="J43" s="7"/>
      <c r="K43" s="7"/>
      <c r="L43" s="7"/>
      <c r="M43" s="7"/>
      <c r="N43" s="53"/>
      <c r="O43" s="54"/>
      <c r="P43" s="7" t="str">
        <f t="shared" si="0"/>
        <v/>
      </c>
      <c r="Q43" s="7"/>
      <c r="R43" s="7"/>
      <c r="S43" s="7"/>
      <c r="T43" s="7"/>
      <c r="U43" s="7"/>
      <c r="V43" s="7"/>
      <c r="W43" s="7"/>
      <c r="X43" s="7"/>
      <c r="Y43" s="7"/>
      <c r="Z43" s="7"/>
    </row>
    <row r="44" spans="1:26" ht="17.5" customHeight="1" x14ac:dyDescent="0.7">
      <c r="A44" s="55"/>
      <c r="B44" s="55"/>
      <c r="C44" s="7"/>
      <c r="D44" s="19"/>
      <c r="E44" s="16"/>
      <c r="F44" s="16"/>
      <c r="G44" s="7"/>
      <c r="H44" s="7"/>
      <c r="I44" s="52"/>
      <c r="J44" s="7"/>
      <c r="K44" s="7"/>
      <c r="L44" s="7"/>
      <c r="M44" s="7"/>
      <c r="N44" s="53"/>
      <c r="O44" s="54"/>
      <c r="P44" s="7" t="str">
        <f t="shared" si="0"/>
        <v/>
      </c>
      <c r="Q44" s="7"/>
      <c r="R44" s="7"/>
      <c r="S44" s="7"/>
      <c r="T44" s="7"/>
      <c r="U44" s="7"/>
      <c r="V44" s="7"/>
      <c r="W44" s="7"/>
      <c r="X44" s="7"/>
      <c r="Y44" s="7"/>
      <c r="Z44" s="7"/>
    </row>
    <row r="45" spans="1:26" ht="17.5" customHeight="1" x14ac:dyDescent="0.7">
      <c r="A45" s="55"/>
      <c r="B45" s="55"/>
      <c r="C45" s="7"/>
      <c r="D45" s="19"/>
      <c r="E45" s="16"/>
      <c r="F45" s="16"/>
      <c r="G45" s="7"/>
      <c r="H45" s="7"/>
      <c r="I45" s="52"/>
      <c r="J45" s="7"/>
      <c r="K45" s="7"/>
      <c r="L45" s="7"/>
      <c r="M45" s="7"/>
      <c r="N45" s="53"/>
      <c r="O45" s="54"/>
      <c r="P45" s="7" t="str">
        <f t="shared" si="0"/>
        <v/>
      </c>
      <c r="Q45" s="7"/>
      <c r="R45" s="7"/>
      <c r="S45" s="7"/>
      <c r="T45" s="7"/>
      <c r="U45" s="7"/>
      <c r="V45" s="7"/>
      <c r="W45" s="7"/>
      <c r="X45" s="7"/>
      <c r="Y45" s="7"/>
      <c r="Z45" s="7"/>
    </row>
    <row r="46" spans="1:26" ht="17.5" customHeight="1" x14ac:dyDescent="0.7">
      <c r="A46" s="55"/>
      <c r="B46" s="55"/>
      <c r="C46" s="7"/>
      <c r="D46" s="19"/>
      <c r="E46" s="16"/>
      <c r="F46" s="16"/>
      <c r="G46" s="7"/>
      <c r="H46" s="7"/>
      <c r="I46" s="52"/>
      <c r="J46" s="7"/>
      <c r="K46" s="7"/>
      <c r="L46" s="7"/>
      <c r="M46" s="7"/>
      <c r="N46" s="53"/>
      <c r="O46" s="54"/>
      <c r="P46" s="7" t="str">
        <f t="shared" si="0"/>
        <v/>
      </c>
      <c r="Q46" s="7"/>
      <c r="R46" s="7"/>
      <c r="S46" s="7"/>
      <c r="T46" s="7"/>
      <c r="U46" s="7"/>
      <c r="V46" s="7"/>
      <c r="W46" s="7"/>
      <c r="X46" s="7"/>
      <c r="Y46" s="7"/>
      <c r="Z46" s="7"/>
    </row>
    <row r="47" spans="1:26" ht="17.5" customHeight="1" x14ac:dyDescent="0.7">
      <c r="A47" s="55"/>
      <c r="B47" s="55"/>
      <c r="C47" s="7"/>
      <c r="D47" s="19"/>
      <c r="E47" s="16"/>
      <c r="F47" s="16"/>
      <c r="G47" s="7"/>
      <c r="H47" s="7"/>
      <c r="I47" s="52"/>
      <c r="J47" s="7"/>
      <c r="K47" s="7"/>
      <c r="L47" s="7"/>
      <c r="M47" s="7"/>
      <c r="N47" s="53"/>
      <c r="O47" s="54"/>
      <c r="P47" s="7" t="str">
        <f t="shared" si="0"/>
        <v/>
      </c>
      <c r="Q47" s="7"/>
      <c r="R47" s="7"/>
      <c r="S47" s="7"/>
      <c r="T47" s="7"/>
      <c r="U47" s="7"/>
      <c r="V47" s="7"/>
      <c r="W47" s="7"/>
      <c r="X47" s="7"/>
      <c r="Y47" s="7"/>
      <c r="Z47" s="7"/>
    </row>
    <row r="48" spans="1:26" ht="17.5" customHeight="1" x14ac:dyDescent="0.7">
      <c r="A48" s="55"/>
      <c r="B48" s="55"/>
      <c r="C48" s="7"/>
      <c r="D48" s="19"/>
      <c r="E48" s="16"/>
      <c r="F48" s="16"/>
      <c r="G48" s="7"/>
      <c r="H48" s="7"/>
      <c r="I48" s="52"/>
      <c r="J48" s="7"/>
      <c r="K48" s="7"/>
      <c r="L48" s="7"/>
      <c r="M48" s="7"/>
      <c r="N48" s="53"/>
      <c r="O48" s="54"/>
      <c r="P48" s="7" t="str">
        <f t="shared" si="0"/>
        <v/>
      </c>
      <c r="Q48" s="7"/>
      <c r="R48" s="7"/>
      <c r="S48" s="7"/>
      <c r="T48" s="7"/>
      <c r="U48" s="7"/>
      <c r="V48" s="7"/>
      <c r="W48" s="7"/>
      <c r="X48" s="7"/>
      <c r="Y48" s="7"/>
      <c r="Z48" s="7"/>
    </row>
    <row r="49" spans="1:26" ht="17.5" customHeight="1" x14ac:dyDescent="0.7">
      <c r="A49" s="55"/>
      <c r="B49" s="55"/>
      <c r="C49" s="7"/>
      <c r="D49" s="19"/>
      <c r="E49" s="16"/>
      <c r="F49" s="16"/>
      <c r="G49" s="7"/>
      <c r="H49" s="7"/>
      <c r="I49" s="52"/>
      <c r="J49" s="7"/>
      <c r="K49" s="7"/>
      <c r="L49" s="7"/>
      <c r="M49" s="7"/>
      <c r="N49" s="53"/>
      <c r="O49" s="54"/>
      <c r="P49" s="7" t="str">
        <f t="shared" si="0"/>
        <v/>
      </c>
      <c r="Q49" s="7"/>
      <c r="R49" s="7"/>
      <c r="S49" s="7"/>
      <c r="T49" s="7"/>
      <c r="U49" s="7"/>
      <c r="V49" s="7"/>
      <c r="W49" s="7"/>
      <c r="X49" s="7"/>
      <c r="Y49" s="7"/>
      <c r="Z49" s="7"/>
    </row>
    <row r="50" spans="1:26" ht="17.5" customHeight="1" x14ac:dyDescent="0.7">
      <c r="A50" s="55"/>
      <c r="B50" s="55"/>
      <c r="C50" s="7"/>
      <c r="D50" s="19"/>
      <c r="E50" s="16"/>
      <c r="F50" s="16"/>
      <c r="G50" s="7"/>
      <c r="H50" s="7"/>
      <c r="I50" s="52"/>
      <c r="J50" s="7"/>
      <c r="K50" s="7"/>
      <c r="L50" s="7"/>
      <c r="M50" s="7"/>
      <c r="N50" s="53"/>
      <c r="O50" s="54"/>
      <c r="P50" s="7" t="str">
        <f t="shared" si="0"/>
        <v/>
      </c>
      <c r="Q50" s="7"/>
      <c r="R50" s="7"/>
      <c r="S50" s="7"/>
      <c r="T50" s="7"/>
      <c r="U50" s="7"/>
      <c r="V50" s="7"/>
      <c r="W50" s="7"/>
      <c r="X50" s="7"/>
      <c r="Y50" s="7"/>
      <c r="Z50" s="7"/>
    </row>
    <row r="51" spans="1:26" ht="17.5" customHeight="1" x14ac:dyDescent="0.7">
      <c r="A51" s="55"/>
      <c r="B51" s="55"/>
      <c r="C51" s="7"/>
      <c r="D51" s="19"/>
      <c r="E51" s="16"/>
      <c r="F51" s="16"/>
      <c r="G51" s="7"/>
      <c r="H51" s="7"/>
      <c r="I51" s="52"/>
      <c r="J51" s="7"/>
      <c r="K51" s="7"/>
      <c r="L51" s="7"/>
      <c r="M51" s="7"/>
      <c r="N51" s="53"/>
      <c r="O51" s="54"/>
      <c r="P51" s="7" t="str">
        <f t="shared" si="0"/>
        <v/>
      </c>
      <c r="Q51" s="7"/>
      <c r="R51" s="7"/>
      <c r="S51" s="7"/>
      <c r="T51" s="7"/>
      <c r="U51" s="7"/>
      <c r="V51" s="7"/>
      <c r="W51" s="7"/>
      <c r="X51" s="7"/>
      <c r="Y51" s="7"/>
      <c r="Z51" s="7"/>
    </row>
    <row r="52" spans="1:26" ht="17.5" customHeight="1" x14ac:dyDescent="0.7">
      <c r="A52" s="55"/>
      <c r="B52" s="55"/>
      <c r="C52" s="7"/>
      <c r="D52" s="19"/>
      <c r="E52" s="16"/>
      <c r="F52" s="16"/>
      <c r="G52" s="7"/>
      <c r="H52" s="7"/>
      <c r="I52" s="52"/>
      <c r="J52" s="7"/>
      <c r="K52" s="7"/>
      <c r="L52" s="7"/>
      <c r="M52" s="7"/>
      <c r="N52" s="53"/>
      <c r="O52" s="54"/>
      <c r="P52" s="7" t="str">
        <f t="shared" si="0"/>
        <v/>
      </c>
      <c r="Q52" s="7"/>
      <c r="R52" s="7"/>
      <c r="S52" s="7"/>
      <c r="T52" s="7"/>
      <c r="U52" s="7"/>
      <c r="V52" s="7"/>
      <c r="W52" s="7"/>
      <c r="X52" s="7"/>
      <c r="Y52" s="7"/>
      <c r="Z52" s="7"/>
    </row>
    <row r="53" spans="1:26" ht="17.5" customHeight="1" x14ac:dyDescent="0.7">
      <c r="A53" s="55"/>
      <c r="B53" s="55"/>
      <c r="C53" s="7"/>
      <c r="D53" s="19"/>
      <c r="E53" s="16"/>
      <c r="F53" s="16"/>
      <c r="G53" s="7"/>
      <c r="H53" s="7"/>
      <c r="I53" s="52"/>
      <c r="J53" s="7"/>
      <c r="K53" s="7"/>
      <c r="L53" s="7"/>
      <c r="M53" s="7"/>
      <c r="N53" s="53"/>
      <c r="O53" s="54"/>
      <c r="P53" s="7" t="str">
        <f t="shared" si="0"/>
        <v/>
      </c>
      <c r="Q53" s="7"/>
      <c r="R53" s="7"/>
      <c r="S53" s="7"/>
      <c r="T53" s="7"/>
      <c r="U53" s="7"/>
      <c r="V53" s="7"/>
      <c r="W53" s="7"/>
      <c r="X53" s="7"/>
      <c r="Y53" s="7"/>
      <c r="Z53" s="7"/>
    </row>
    <row r="54" spans="1:26" ht="17.5" customHeight="1" x14ac:dyDescent="0.7">
      <c r="A54" s="55"/>
      <c r="B54" s="55"/>
      <c r="C54" s="7"/>
      <c r="D54" s="19"/>
      <c r="E54" s="16"/>
      <c r="F54" s="16"/>
      <c r="G54" s="7"/>
      <c r="H54" s="7"/>
      <c r="I54" s="52"/>
      <c r="J54" s="7"/>
      <c r="K54" s="7"/>
      <c r="L54" s="7"/>
      <c r="M54" s="7"/>
      <c r="N54" s="53"/>
      <c r="O54" s="54"/>
      <c r="P54" s="7" t="str">
        <f t="shared" si="0"/>
        <v/>
      </c>
      <c r="Q54" s="7"/>
      <c r="R54" s="7"/>
      <c r="S54" s="7"/>
      <c r="T54" s="7"/>
      <c r="U54" s="7"/>
      <c r="V54" s="7"/>
      <c r="W54" s="7"/>
      <c r="X54" s="7"/>
      <c r="Y54" s="7"/>
      <c r="Z54" s="7"/>
    </row>
    <row r="55" spans="1:26" ht="17.5" customHeight="1" x14ac:dyDescent="0.7">
      <c r="A55" s="55"/>
      <c r="B55" s="55"/>
      <c r="C55" s="7"/>
      <c r="D55" s="19"/>
      <c r="E55" s="16"/>
      <c r="F55" s="16"/>
      <c r="G55" s="7"/>
      <c r="H55" s="7"/>
      <c r="I55" s="52"/>
      <c r="J55" s="7"/>
      <c r="K55" s="7"/>
      <c r="L55" s="7"/>
      <c r="M55" s="7"/>
      <c r="N55" s="53"/>
      <c r="O55" s="54"/>
      <c r="P55" s="7" t="str">
        <f t="shared" si="0"/>
        <v/>
      </c>
      <c r="Q55" s="7"/>
      <c r="R55" s="7"/>
      <c r="S55" s="7"/>
      <c r="T55" s="7"/>
      <c r="U55" s="7"/>
      <c r="V55" s="7"/>
      <c r="W55" s="7"/>
      <c r="X55" s="7"/>
      <c r="Y55" s="7"/>
      <c r="Z55" s="7"/>
    </row>
    <row r="56" spans="1:26" ht="17.5" customHeight="1" x14ac:dyDescent="0.7">
      <c r="A56" s="55"/>
      <c r="B56" s="55"/>
      <c r="C56" s="7"/>
      <c r="D56" s="19"/>
      <c r="E56" s="16"/>
      <c r="F56" s="16"/>
      <c r="G56" s="7"/>
      <c r="H56" s="7"/>
      <c r="I56" s="52"/>
      <c r="J56" s="7"/>
      <c r="K56" s="7"/>
      <c r="L56" s="7"/>
      <c r="M56" s="7"/>
      <c r="N56" s="53"/>
      <c r="O56" s="54"/>
      <c r="P56" s="7" t="str">
        <f t="shared" si="0"/>
        <v/>
      </c>
      <c r="Q56" s="7"/>
      <c r="R56" s="7"/>
      <c r="S56" s="7"/>
      <c r="T56" s="7"/>
      <c r="U56" s="7"/>
      <c r="V56" s="7"/>
      <c r="W56" s="7"/>
      <c r="X56" s="7"/>
      <c r="Y56" s="7"/>
      <c r="Z56" s="7"/>
    </row>
    <row r="57" spans="1:26" ht="17.5" customHeight="1" x14ac:dyDescent="0.7">
      <c r="A57" s="55"/>
      <c r="B57" s="55"/>
      <c r="C57" s="7"/>
      <c r="D57" s="19"/>
      <c r="E57" s="16"/>
      <c r="F57" s="16"/>
      <c r="G57" s="7"/>
      <c r="H57" s="7"/>
      <c r="I57" s="52"/>
      <c r="J57" s="7"/>
      <c r="K57" s="7"/>
      <c r="L57" s="7"/>
      <c r="M57" s="7"/>
      <c r="N57" s="53"/>
      <c r="O57" s="54"/>
      <c r="P57" s="7" t="str">
        <f t="shared" si="0"/>
        <v/>
      </c>
      <c r="Q57" s="7"/>
      <c r="R57" s="7"/>
      <c r="S57" s="7"/>
      <c r="T57" s="7"/>
      <c r="U57" s="7"/>
      <c r="V57" s="7"/>
      <c r="W57" s="7"/>
      <c r="X57" s="7"/>
      <c r="Y57" s="7"/>
      <c r="Z57" s="7"/>
    </row>
    <row r="58" spans="1:26" ht="17.5" customHeight="1" x14ac:dyDescent="0.7">
      <c r="A58" s="55"/>
      <c r="B58" s="55"/>
      <c r="C58" s="7"/>
      <c r="D58" s="19"/>
      <c r="E58" s="16"/>
      <c r="F58" s="16"/>
      <c r="G58" s="7"/>
      <c r="H58" s="7"/>
      <c r="I58" s="52"/>
      <c r="J58" s="7"/>
      <c r="K58" s="7"/>
      <c r="L58" s="7"/>
      <c r="M58" s="7"/>
      <c r="N58" s="53"/>
      <c r="O58" s="54"/>
      <c r="P58" s="7" t="str">
        <f t="shared" si="0"/>
        <v/>
      </c>
      <c r="Q58" s="7"/>
      <c r="R58" s="7"/>
      <c r="S58" s="7"/>
      <c r="T58" s="7"/>
      <c r="U58" s="7"/>
      <c r="V58" s="7"/>
      <c r="W58" s="7"/>
      <c r="X58" s="7"/>
      <c r="Y58" s="7"/>
      <c r="Z58" s="7"/>
    </row>
    <row r="59" spans="1:26" ht="17.5" customHeight="1" x14ac:dyDescent="0.7">
      <c r="A59" s="55"/>
      <c r="B59" s="55"/>
      <c r="C59" s="7"/>
      <c r="D59" s="19"/>
      <c r="E59" s="16"/>
      <c r="F59" s="16"/>
      <c r="G59" s="7"/>
      <c r="H59" s="7"/>
      <c r="I59" s="52"/>
      <c r="J59" s="7"/>
      <c r="K59" s="7"/>
      <c r="L59" s="7"/>
      <c r="M59" s="7"/>
      <c r="N59" s="53"/>
      <c r="O59" s="54"/>
      <c r="P59" s="7" t="str">
        <f t="shared" si="0"/>
        <v/>
      </c>
      <c r="Q59" s="7"/>
      <c r="R59" s="7"/>
      <c r="S59" s="7"/>
      <c r="T59" s="7"/>
      <c r="U59" s="7"/>
      <c r="V59" s="7"/>
      <c r="W59" s="7"/>
      <c r="X59" s="7"/>
      <c r="Y59" s="7"/>
      <c r="Z59" s="7"/>
    </row>
    <row r="60" spans="1:26" x14ac:dyDescent="0.7">
      <c r="A60" s="55"/>
      <c r="B60" s="55"/>
      <c r="C60" s="7"/>
      <c r="D60" s="19"/>
      <c r="E60" s="16"/>
      <c r="F60" s="16"/>
      <c r="G60" s="7"/>
      <c r="H60" s="7"/>
      <c r="I60" s="52"/>
      <c r="J60" s="7"/>
      <c r="K60" s="7"/>
      <c r="L60" s="7"/>
      <c r="M60" s="7"/>
      <c r="N60" s="53"/>
      <c r="O60" s="54"/>
      <c r="P60" s="7" t="str">
        <f t="shared" si="0"/>
        <v/>
      </c>
      <c r="Q60" s="7"/>
      <c r="R60" s="7"/>
      <c r="S60" s="7"/>
      <c r="T60" s="7"/>
      <c r="U60" s="7"/>
      <c r="V60" s="7"/>
      <c r="W60" s="7"/>
      <c r="X60" s="7"/>
      <c r="Y60" s="7"/>
      <c r="Z60" s="7"/>
    </row>
    <row r="61" spans="1:26" x14ac:dyDescent="0.7">
      <c r="A61" s="55"/>
      <c r="B61" s="55"/>
      <c r="C61" s="7"/>
      <c r="D61" s="19"/>
      <c r="E61" s="16"/>
      <c r="F61" s="16"/>
      <c r="G61" s="7"/>
      <c r="H61" s="7"/>
      <c r="I61" s="52"/>
      <c r="J61" s="7"/>
      <c r="K61" s="7"/>
      <c r="L61" s="7"/>
      <c r="M61" s="7"/>
      <c r="N61" s="53"/>
      <c r="O61" s="54"/>
      <c r="P61" s="7" t="str">
        <f t="shared" si="0"/>
        <v/>
      </c>
      <c r="Q61" s="7"/>
      <c r="R61" s="7"/>
      <c r="S61" s="7"/>
      <c r="T61" s="7"/>
      <c r="U61" s="7"/>
      <c r="V61" s="7"/>
      <c r="W61" s="7"/>
      <c r="X61" s="7"/>
      <c r="Y61" s="7"/>
      <c r="Z61" s="7"/>
    </row>
    <row r="62" spans="1:26" x14ac:dyDescent="0.7">
      <c r="A62" s="55"/>
      <c r="B62" s="55"/>
      <c r="C62" s="7"/>
      <c r="D62" s="19"/>
      <c r="E62" s="16"/>
      <c r="F62" s="16"/>
      <c r="G62" s="7"/>
      <c r="H62" s="7"/>
      <c r="I62" s="52"/>
      <c r="J62" s="7"/>
      <c r="K62" s="7"/>
      <c r="L62" s="7"/>
      <c r="M62" s="7"/>
      <c r="N62" s="53"/>
      <c r="O62" s="54"/>
      <c r="P62" s="7" t="str">
        <f t="shared" si="0"/>
        <v/>
      </c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26" x14ac:dyDescent="0.7">
      <c r="A63" s="55"/>
      <c r="B63" s="55"/>
      <c r="C63" s="7"/>
      <c r="D63" s="19"/>
      <c r="E63" s="16"/>
      <c r="F63" s="16"/>
      <c r="G63" s="7"/>
      <c r="H63" s="7"/>
      <c r="I63" s="52"/>
      <c r="J63" s="7"/>
      <c r="K63" s="7"/>
      <c r="L63" s="7"/>
      <c r="M63" s="7"/>
      <c r="N63" s="53"/>
      <c r="O63" s="54"/>
      <c r="P63" s="7" t="str">
        <f t="shared" si="0"/>
        <v/>
      </c>
      <c r="Q63" s="7"/>
      <c r="R63" s="7"/>
      <c r="S63" s="7"/>
      <c r="T63" s="7"/>
      <c r="U63" s="7"/>
      <c r="V63" s="7"/>
      <c r="W63" s="7"/>
      <c r="X63" s="7"/>
      <c r="Y63" s="7"/>
      <c r="Z63" s="7"/>
    </row>
    <row r="64" spans="1:26" x14ac:dyDescent="0.7">
      <c r="A64" s="55"/>
      <c r="B64" s="55"/>
      <c r="C64" s="7"/>
      <c r="D64" s="19"/>
      <c r="E64" s="16"/>
      <c r="F64" s="16"/>
      <c r="G64" s="7"/>
      <c r="H64" s="7"/>
      <c r="I64" s="52"/>
      <c r="J64" s="7"/>
      <c r="K64" s="7"/>
      <c r="L64" s="7"/>
      <c r="M64" s="7"/>
      <c r="N64" s="53"/>
      <c r="O64" s="54"/>
      <c r="P64" s="7" t="str">
        <f t="shared" si="0"/>
        <v/>
      </c>
      <c r="Q64" s="7"/>
      <c r="R64" s="7"/>
      <c r="S64" s="7"/>
      <c r="T64" s="7"/>
      <c r="U64" s="7"/>
      <c r="V64" s="7"/>
      <c r="W64" s="7"/>
      <c r="X64" s="7"/>
      <c r="Y64" s="7"/>
      <c r="Z64" s="7"/>
    </row>
    <row r="65" spans="1:26" x14ac:dyDescent="0.7">
      <c r="A65" s="55"/>
      <c r="B65" s="55"/>
      <c r="C65" s="7"/>
      <c r="D65" s="19"/>
      <c r="E65" s="16"/>
      <c r="F65" s="16"/>
      <c r="G65" s="7"/>
      <c r="H65" s="7"/>
      <c r="I65" s="52"/>
      <c r="J65" s="7"/>
      <c r="K65" s="7"/>
      <c r="L65" s="7"/>
      <c r="M65" s="7"/>
      <c r="N65" s="53"/>
      <c r="O65" s="54"/>
      <c r="P65" s="7" t="str">
        <f t="shared" si="0"/>
        <v/>
      </c>
      <c r="Q65" s="7"/>
      <c r="R65" s="7"/>
      <c r="S65" s="7"/>
      <c r="T65" s="7"/>
      <c r="U65" s="7"/>
      <c r="V65" s="7"/>
      <c r="W65" s="7"/>
      <c r="X65" s="7"/>
      <c r="Y65" s="7"/>
      <c r="Z65" s="7"/>
    </row>
    <row r="66" spans="1:26" x14ac:dyDescent="0.7">
      <c r="A66" s="55"/>
      <c r="B66" s="55"/>
      <c r="C66" s="7"/>
      <c r="D66" s="19"/>
      <c r="E66" s="16"/>
      <c r="F66" s="16"/>
      <c r="G66" s="7"/>
      <c r="H66" s="7"/>
      <c r="I66" s="52"/>
      <c r="J66" s="7"/>
      <c r="K66" s="7"/>
      <c r="L66" s="7"/>
      <c r="M66" s="7"/>
      <c r="N66" s="53"/>
      <c r="O66" s="54"/>
      <c r="P66" s="7" t="str">
        <f t="shared" si="0"/>
        <v/>
      </c>
      <c r="Q66" s="7"/>
      <c r="R66" s="7"/>
      <c r="S66" s="7"/>
      <c r="T66" s="7"/>
      <c r="U66" s="7"/>
      <c r="V66" s="7"/>
      <c r="W66" s="7"/>
      <c r="X66" s="7"/>
      <c r="Y66" s="7"/>
      <c r="Z66" s="7"/>
    </row>
    <row r="67" spans="1:26" x14ac:dyDescent="0.7">
      <c r="A67" s="55"/>
      <c r="B67" s="55"/>
      <c r="C67" s="7"/>
      <c r="D67" s="19"/>
      <c r="E67" s="16"/>
      <c r="F67" s="16"/>
      <c r="G67" s="7"/>
      <c r="H67" s="7"/>
      <c r="I67" s="52"/>
      <c r="J67" s="7"/>
      <c r="K67" s="7"/>
      <c r="L67" s="7"/>
      <c r="M67" s="7"/>
      <c r="N67" s="53"/>
      <c r="O67" s="54"/>
      <c r="P67" s="7" t="str">
        <f t="shared" si="0"/>
        <v/>
      </c>
      <c r="Q67" s="7"/>
      <c r="R67" s="7"/>
      <c r="S67" s="7"/>
      <c r="T67" s="7"/>
      <c r="U67" s="7"/>
      <c r="V67" s="7"/>
      <c r="W67" s="7"/>
      <c r="X67" s="7"/>
      <c r="Y67" s="7"/>
      <c r="Z67" s="7"/>
    </row>
    <row r="68" spans="1:26" x14ac:dyDescent="0.7">
      <c r="A68" s="55"/>
      <c r="B68" s="55"/>
      <c r="C68" s="7"/>
      <c r="D68" s="19"/>
      <c r="E68" s="16"/>
      <c r="F68" s="16"/>
      <c r="G68" s="7"/>
      <c r="H68" s="7"/>
      <c r="I68" s="52"/>
      <c r="J68" s="7"/>
      <c r="K68" s="7"/>
      <c r="L68" s="7"/>
      <c r="M68" s="7"/>
      <c r="N68" s="53"/>
      <c r="O68" s="54"/>
      <c r="P68" s="7" t="str">
        <f t="shared" si="0"/>
        <v/>
      </c>
      <c r="Q68" s="7"/>
      <c r="R68" s="7"/>
      <c r="S68" s="7"/>
      <c r="T68" s="7"/>
      <c r="U68" s="7"/>
      <c r="V68" s="7"/>
      <c r="W68" s="7"/>
      <c r="X68" s="7"/>
      <c r="Y68" s="7"/>
      <c r="Z68" s="7"/>
    </row>
    <row r="69" spans="1:26" x14ac:dyDescent="0.7">
      <c r="A69" s="55"/>
      <c r="B69" s="55"/>
      <c r="C69" s="7"/>
      <c r="D69" s="19"/>
      <c r="E69" s="16"/>
      <c r="F69" s="16"/>
      <c r="G69" s="7"/>
      <c r="H69" s="7"/>
      <c r="I69" s="52"/>
      <c r="J69" s="7"/>
      <c r="K69" s="7"/>
      <c r="L69" s="7"/>
      <c r="M69" s="7"/>
      <c r="N69" s="53"/>
      <c r="O69" s="54"/>
      <c r="P69" s="7" t="str">
        <f t="shared" si="0"/>
        <v/>
      </c>
      <c r="Q69" s="7"/>
      <c r="R69" s="7"/>
      <c r="S69" s="7"/>
      <c r="T69" s="7"/>
      <c r="U69" s="7"/>
      <c r="V69" s="7"/>
      <c r="W69" s="7"/>
      <c r="X69" s="7"/>
      <c r="Y69" s="7"/>
      <c r="Z69" s="7"/>
    </row>
    <row r="70" spans="1:26" x14ac:dyDescent="0.7">
      <c r="A70" s="55"/>
      <c r="B70" s="55"/>
      <c r="C70" s="7"/>
      <c r="D70" s="19"/>
      <c r="E70" s="16"/>
      <c r="F70" s="16"/>
      <c r="G70" s="7"/>
      <c r="H70" s="7"/>
      <c r="I70" s="52"/>
      <c r="J70" s="7"/>
      <c r="K70" s="7"/>
      <c r="L70" s="7"/>
      <c r="M70" s="7"/>
      <c r="N70" s="53"/>
      <c r="O70" s="54"/>
      <c r="P70" s="7" t="str">
        <f t="shared" si="0"/>
        <v/>
      </c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26" x14ac:dyDescent="0.7">
      <c r="A71" s="55"/>
      <c r="B71" s="55"/>
      <c r="C71" s="7"/>
      <c r="D71" s="19"/>
      <c r="E71" s="16"/>
      <c r="F71" s="16"/>
      <c r="G71" s="7"/>
      <c r="H71" s="7"/>
      <c r="I71" s="52"/>
      <c r="J71" s="7"/>
      <c r="K71" s="7"/>
      <c r="L71" s="7"/>
      <c r="M71" s="7"/>
      <c r="N71" s="53"/>
      <c r="O71" s="54"/>
      <c r="P71" s="7" t="str">
        <f t="shared" ref="P71:P134" si="1">IF(I71="","",SUMIFS(OrderItems_Qty,OrderItems_Type,"PURCHASE",OrderItems_SKU,I71)-SUMIFS(OrderItems_Qty,OrderItems_Type,"SALE",OrderItems_SKU,I71))</f>
        <v/>
      </c>
      <c r="Q71" s="7"/>
      <c r="R71" s="7"/>
      <c r="S71" s="7"/>
      <c r="T71" s="7"/>
      <c r="U71" s="7"/>
      <c r="V71" s="7"/>
      <c r="W71" s="7"/>
      <c r="X71" s="7"/>
      <c r="Y71" s="7"/>
      <c r="Z71" s="7"/>
    </row>
    <row r="72" spans="1:26" x14ac:dyDescent="0.7">
      <c r="A72" s="55"/>
      <c r="B72" s="55"/>
      <c r="C72" s="7"/>
      <c r="D72" s="19"/>
      <c r="E72" s="16"/>
      <c r="F72" s="16"/>
      <c r="G72" s="7"/>
      <c r="H72" s="7"/>
      <c r="I72" s="52"/>
      <c r="J72" s="7"/>
      <c r="K72" s="7"/>
      <c r="L72" s="7"/>
      <c r="M72" s="7"/>
      <c r="N72" s="53"/>
      <c r="O72" s="54"/>
      <c r="P72" s="7" t="str">
        <f t="shared" si="1"/>
        <v/>
      </c>
      <c r="Q72" s="7"/>
      <c r="R72" s="7"/>
      <c r="S72" s="7"/>
      <c r="T72" s="7"/>
      <c r="U72" s="7"/>
      <c r="V72" s="7"/>
      <c r="W72" s="7"/>
      <c r="X72" s="7"/>
      <c r="Y72" s="7"/>
      <c r="Z72" s="7"/>
    </row>
    <row r="73" spans="1:26" x14ac:dyDescent="0.7">
      <c r="A73" s="55"/>
      <c r="B73" s="55"/>
      <c r="C73" s="7"/>
      <c r="D73" s="19"/>
      <c r="E73" s="16"/>
      <c r="F73" s="16"/>
      <c r="G73" s="7"/>
      <c r="H73" s="7"/>
      <c r="I73" s="52"/>
      <c r="J73" s="7"/>
      <c r="K73" s="7"/>
      <c r="L73" s="7"/>
      <c r="M73" s="7"/>
      <c r="N73" s="53"/>
      <c r="O73" s="54"/>
      <c r="P73" s="7" t="str">
        <f t="shared" si="1"/>
        <v/>
      </c>
      <c r="Q73" s="7"/>
      <c r="R73" s="7"/>
      <c r="S73" s="7"/>
      <c r="T73" s="7"/>
      <c r="U73" s="7"/>
      <c r="V73" s="7"/>
      <c r="W73" s="7"/>
      <c r="X73" s="7"/>
      <c r="Y73" s="7"/>
      <c r="Z73" s="7"/>
    </row>
    <row r="74" spans="1:26" x14ac:dyDescent="0.7">
      <c r="A74" s="55"/>
      <c r="B74" s="55"/>
      <c r="C74" s="7"/>
      <c r="D74" s="19"/>
      <c r="E74" s="16"/>
      <c r="F74" s="16"/>
      <c r="G74" s="7"/>
      <c r="H74" s="7"/>
      <c r="I74" s="52"/>
      <c r="J74" s="7"/>
      <c r="K74" s="7"/>
      <c r="L74" s="7"/>
      <c r="M74" s="7"/>
      <c r="N74" s="53"/>
      <c r="O74" s="54"/>
      <c r="P74" s="7" t="str">
        <f t="shared" si="1"/>
        <v/>
      </c>
      <c r="Q74" s="7"/>
      <c r="R74" s="7"/>
      <c r="S74" s="7"/>
      <c r="T74" s="7"/>
      <c r="U74" s="7"/>
      <c r="V74" s="7"/>
      <c r="W74" s="7"/>
      <c r="X74" s="7"/>
      <c r="Y74" s="7"/>
      <c r="Z74" s="7"/>
    </row>
    <row r="75" spans="1:26" x14ac:dyDescent="0.7">
      <c r="A75" s="55"/>
      <c r="B75" s="55"/>
      <c r="C75" s="7"/>
      <c r="D75" s="19"/>
      <c r="E75" s="16"/>
      <c r="F75" s="16"/>
      <c r="G75" s="7"/>
      <c r="H75" s="7"/>
      <c r="I75" s="52"/>
      <c r="J75" s="7"/>
      <c r="K75" s="7"/>
      <c r="L75" s="7"/>
      <c r="M75" s="7"/>
      <c r="N75" s="53"/>
      <c r="O75" s="54"/>
      <c r="P75" s="7" t="str">
        <f t="shared" si="1"/>
        <v/>
      </c>
      <c r="Q75" s="7"/>
      <c r="R75" s="7"/>
      <c r="S75" s="7"/>
      <c r="T75" s="7"/>
      <c r="U75" s="7"/>
      <c r="V75" s="7"/>
      <c r="W75" s="7"/>
      <c r="X75" s="7"/>
      <c r="Y75" s="7"/>
      <c r="Z75" s="7"/>
    </row>
    <row r="76" spans="1:26" x14ac:dyDescent="0.7">
      <c r="A76" s="55"/>
      <c r="B76" s="55"/>
      <c r="C76" s="7"/>
      <c r="D76" s="19"/>
      <c r="E76" s="16"/>
      <c r="F76" s="16"/>
      <c r="G76" s="7"/>
      <c r="H76" s="7"/>
      <c r="I76" s="52"/>
      <c r="J76" s="7"/>
      <c r="K76" s="7"/>
      <c r="L76" s="7"/>
      <c r="M76" s="7"/>
      <c r="N76" s="53"/>
      <c r="O76" s="54"/>
      <c r="P76" s="7" t="str">
        <f t="shared" si="1"/>
        <v/>
      </c>
      <c r="Q76" s="7"/>
      <c r="R76" s="7"/>
      <c r="S76" s="7"/>
      <c r="T76" s="7"/>
      <c r="U76" s="7"/>
      <c r="V76" s="7"/>
      <c r="W76" s="7"/>
      <c r="X76" s="7"/>
      <c r="Y76" s="7"/>
      <c r="Z76" s="7"/>
    </row>
    <row r="77" spans="1:26" x14ac:dyDescent="0.7">
      <c r="A77" s="55"/>
      <c r="B77" s="55"/>
      <c r="C77" s="7"/>
      <c r="D77" s="19"/>
      <c r="E77" s="16"/>
      <c r="F77" s="16"/>
      <c r="G77" s="7"/>
      <c r="H77" s="7"/>
      <c r="I77" s="52"/>
      <c r="J77" s="7"/>
      <c r="K77" s="7"/>
      <c r="L77" s="7"/>
      <c r="M77" s="7"/>
      <c r="N77" s="53"/>
      <c r="O77" s="54"/>
      <c r="P77" s="7" t="str">
        <f t="shared" si="1"/>
        <v/>
      </c>
      <c r="Q77" s="7"/>
      <c r="R77" s="7"/>
      <c r="S77" s="7"/>
      <c r="T77" s="7"/>
      <c r="U77" s="7"/>
      <c r="V77" s="7"/>
      <c r="W77" s="7"/>
      <c r="X77" s="7"/>
      <c r="Y77" s="7"/>
      <c r="Z77" s="7"/>
    </row>
    <row r="78" spans="1:26" x14ac:dyDescent="0.7">
      <c r="A78" s="55"/>
      <c r="B78" s="55"/>
      <c r="C78" s="7"/>
      <c r="D78" s="19"/>
      <c r="E78" s="16"/>
      <c r="F78" s="16"/>
      <c r="G78" s="7"/>
      <c r="H78" s="7"/>
      <c r="I78" s="52"/>
      <c r="J78" s="7"/>
      <c r="K78" s="7"/>
      <c r="L78" s="7"/>
      <c r="M78" s="7"/>
      <c r="N78" s="53"/>
      <c r="O78" s="54"/>
      <c r="P78" s="7" t="str">
        <f t="shared" si="1"/>
        <v/>
      </c>
      <c r="Q78" s="7"/>
      <c r="R78" s="7"/>
      <c r="S78" s="7"/>
      <c r="T78" s="7"/>
      <c r="U78" s="7"/>
      <c r="V78" s="7"/>
      <c r="W78" s="7"/>
      <c r="X78" s="7"/>
      <c r="Y78" s="7"/>
      <c r="Z78" s="7"/>
    </row>
    <row r="79" spans="1:26" x14ac:dyDescent="0.7">
      <c r="A79" s="55"/>
      <c r="B79" s="55"/>
      <c r="C79" s="7"/>
      <c r="D79" s="19"/>
      <c r="E79" s="16"/>
      <c r="F79" s="16"/>
      <c r="G79" s="7"/>
      <c r="H79" s="7"/>
      <c r="I79" s="52"/>
      <c r="J79" s="7"/>
      <c r="K79" s="7"/>
      <c r="L79" s="7"/>
      <c r="M79" s="7"/>
      <c r="N79" s="53"/>
      <c r="O79" s="54"/>
      <c r="P79" s="7" t="str">
        <f t="shared" si="1"/>
        <v/>
      </c>
      <c r="Q79" s="7"/>
      <c r="R79" s="7"/>
      <c r="S79" s="7"/>
      <c r="T79" s="7"/>
      <c r="U79" s="7"/>
      <c r="V79" s="7"/>
      <c r="W79" s="7"/>
      <c r="X79" s="7"/>
      <c r="Y79" s="7"/>
      <c r="Z79" s="7"/>
    </row>
    <row r="80" spans="1:26" x14ac:dyDescent="0.7">
      <c r="A80" s="55"/>
      <c r="B80" s="55"/>
      <c r="C80" s="7"/>
      <c r="D80" s="19"/>
      <c r="E80" s="16"/>
      <c r="F80" s="16"/>
      <c r="G80" s="7"/>
      <c r="H80" s="7"/>
      <c r="I80" s="52"/>
      <c r="J80" s="7"/>
      <c r="K80" s="7"/>
      <c r="L80" s="7"/>
      <c r="M80" s="7"/>
      <c r="N80" s="53"/>
      <c r="O80" s="54"/>
      <c r="P80" s="7" t="str">
        <f t="shared" si="1"/>
        <v/>
      </c>
      <c r="Q80" s="7"/>
      <c r="R80" s="7"/>
      <c r="S80" s="7"/>
      <c r="T80" s="7"/>
      <c r="U80" s="7"/>
      <c r="V80" s="7"/>
      <c r="W80" s="7"/>
      <c r="X80" s="7"/>
      <c r="Y80" s="7"/>
      <c r="Z80" s="7"/>
    </row>
    <row r="81" spans="1:26" x14ac:dyDescent="0.7">
      <c r="A81" s="55"/>
      <c r="B81" s="55"/>
      <c r="C81" s="7"/>
      <c r="D81" s="19"/>
      <c r="E81" s="16"/>
      <c r="F81" s="16"/>
      <c r="G81" s="7"/>
      <c r="H81" s="7"/>
      <c r="I81" s="52"/>
      <c r="J81" s="7"/>
      <c r="K81" s="7"/>
      <c r="L81" s="7"/>
      <c r="M81" s="7"/>
      <c r="N81" s="53"/>
      <c r="O81" s="54"/>
      <c r="P81" s="7" t="str">
        <f t="shared" si="1"/>
        <v/>
      </c>
      <c r="Q81" s="7"/>
      <c r="R81" s="7"/>
      <c r="S81" s="7"/>
      <c r="T81" s="7"/>
      <c r="U81" s="7"/>
      <c r="V81" s="7"/>
      <c r="W81" s="7"/>
      <c r="X81" s="7"/>
      <c r="Y81" s="7"/>
      <c r="Z81" s="7"/>
    </row>
    <row r="82" spans="1:26" x14ac:dyDescent="0.7">
      <c r="A82" s="55"/>
      <c r="B82" s="55"/>
      <c r="C82" s="7"/>
      <c r="D82" s="19"/>
      <c r="E82" s="16"/>
      <c r="F82" s="16"/>
      <c r="G82" s="7"/>
      <c r="H82" s="7"/>
      <c r="I82" s="52"/>
      <c r="J82" s="7"/>
      <c r="K82" s="7"/>
      <c r="L82" s="7"/>
      <c r="M82" s="7"/>
      <c r="N82" s="53"/>
      <c r="O82" s="54"/>
      <c r="P82" s="7" t="str">
        <f t="shared" si="1"/>
        <v/>
      </c>
      <c r="Q82" s="7"/>
      <c r="R82" s="7"/>
      <c r="S82" s="7"/>
      <c r="T82" s="7"/>
      <c r="U82" s="7"/>
      <c r="V82" s="7"/>
      <c r="W82" s="7"/>
      <c r="X82" s="7"/>
      <c r="Y82" s="7"/>
      <c r="Z82" s="7"/>
    </row>
    <row r="83" spans="1:26" x14ac:dyDescent="0.7">
      <c r="A83" s="55"/>
      <c r="B83" s="55"/>
      <c r="C83" s="7"/>
      <c r="D83" s="19"/>
      <c r="E83" s="16"/>
      <c r="F83" s="16"/>
      <c r="G83" s="7"/>
      <c r="H83" s="7"/>
      <c r="I83" s="52"/>
      <c r="J83" s="7"/>
      <c r="K83" s="7"/>
      <c r="L83" s="7"/>
      <c r="M83" s="7"/>
      <c r="N83" s="53"/>
      <c r="O83" s="54"/>
      <c r="P83" s="7" t="str">
        <f t="shared" si="1"/>
        <v/>
      </c>
      <c r="Q83" s="7"/>
      <c r="R83" s="7"/>
      <c r="S83" s="7"/>
      <c r="T83" s="7"/>
      <c r="U83" s="7"/>
      <c r="V83" s="7"/>
      <c r="W83" s="7"/>
      <c r="X83" s="7"/>
      <c r="Y83" s="7"/>
      <c r="Z83" s="7"/>
    </row>
    <row r="84" spans="1:26" x14ac:dyDescent="0.7">
      <c r="A84" s="55"/>
      <c r="B84" s="55"/>
      <c r="C84" s="7"/>
      <c r="D84" s="19"/>
      <c r="E84" s="16"/>
      <c r="F84" s="16"/>
      <c r="G84" s="7"/>
      <c r="H84" s="7"/>
      <c r="I84" s="52"/>
      <c r="J84" s="7"/>
      <c r="K84" s="7"/>
      <c r="L84" s="7"/>
      <c r="M84" s="7"/>
      <c r="N84" s="53"/>
      <c r="O84" s="54"/>
      <c r="P84" s="7" t="str">
        <f t="shared" si="1"/>
        <v/>
      </c>
      <c r="Q84" s="7"/>
      <c r="R84" s="7"/>
      <c r="S84" s="7"/>
      <c r="T84" s="7"/>
      <c r="U84" s="7"/>
      <c r="V84" s="7"/>
      <c r="W84" s="7"/>
      <c r="X84" s="7"/>
      <c r="Y84" s="7"/>
      <c r="Z84" s="7"/>
    </row>
    <row r="85" spans="1:26" x14ac:dyDescent="0.7">
      <c r="A85" s="55"/>
      <c r="B85" s="55"/>
      <c r="C85" s="7"/>
      <c r="D85" s="19"/>
      <c r="E85" s="16"/>
      <c r="F85" s="16"/>
      <c r="G85" s="7"/>
      <c r="H85" s="7"/>
      <c r="I85" s="52"/>
      <c r="J85" s="7"/>
      <c r="K85" s="7"/>
      <c r="L85" s="7"/>
      <c r="M85" s="7"/>
      <c r="N85" s="53"/>
      <c r="O85" s="54"/>
      <c r="P85" s="7" t="str">
        <f t="shared" si="1"/>
        <v/>
      </c>
      <c r="Q85" s="7"/>
      <c r="R85" s="7"/>
      <c r="S85" s="7"/>
      <c r="T85" s="7"/>
      <c r="U85" s="7"/>
      <c r="V85" s="7"/>
      <c r="W85" s="7"/>
      <c r="X85" s="7"/>
      <c r="Y85" s="7"/>
      <c r="Z85" s="7"/>
    </row>
    <row r="86" spans="1:26" x14ac:dyDescent="0.7">
      <c r="A86" s="55"/>
      <c r="B86" s="55"/>
      <c r="C86" s="7"/>
      <c r="D86" s="19"/>
      <c r="E86" s="16"/>
      <c r="F86" s="16"/>
      <c r="G86" s="7"/>
      <c r="H86" s="7"/>
      <c r="I86" s="52"/>
      <c r="J86" s="7"/>
      <c r="K86" s="7"/>
      <c r="L86" s="7"/>
      <c r="M86" s="7"/>
      <c r="N86" s="53"/>
      <c r="O86" s="54"/>
      <c r="P86" s="7" t="str">
        <f t="shared" si="1"/>
        <v/>
      </c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26" x14ac:dyDescent="0.7">
      <c r="A87" s="55"/>
      <c r="B87" s="55"/>
      <c r="C87" s="7"/>
      <c r="D87" s="19"/>
      <c r="E87" s="16"/>
      <c r="F87" s="16"/>
      <c r="G87" s="7"/>
      <c r="H87" s="7"/>
      <c r="I87" s="52"/>
      <c r="J87" s="7"/>
      <c r="K87" s="7"/>
      <c r="L87" s="7"/>
      <c r="M87" s="7"/>
      <c r="N87" s="53"/>
      <c r="O87" s="54"/>
      <c r="P87" s="7" t="str">
        <f t="shared" si="1"/>
        <v/>
      </c>
      <c r="Q87" s="7"/>
      <c r="R87" s="7"/>
      <c r="S87" s="7"/>
      <c r="T87" s="7"/>
      <c r="U87" s="7"/>
      <c r="V87" s="7"/>
      <c r="W87" s="7"/>
      <c r="X87" s="7"/>
      <c r="Y87" s="7"/>
      <c r="Z87" s="7"/>
    </row>
    <row r="88" spans="1:26" x14ac:dyDescent="0.7">
      <c r="A88" s="55"/>
      <c r="B88" s="55"/>
      <c r="C88" s="7"/>
      <c r="D88" s="19"/>
      <c r="E88" s="16"/>
      <c r="F88" s="16"/>
      <c r="G88" s="7"/>
      <c r="H88" s="7"/>
      <c r="I88" s="52"/>
      <c r="J88" s="7"/>
      <c r="K88" s="7"/>
      <c r="L88" s="7"/>
      <c r="M88" s="7"/>
      <c r="N88" s="53"/>
      <c r="O88" s="54"/>
      <c r="P88" s="7" t="str">
        <f t="shared" si="1"/>
        <v/>
      </c>
      <c r="Q88" s="7"/>
      <c r="R88" s="7"/>
      <c r="S88" s="7"/>
      <c r="T88" s="7"/>
      <c r="U88" s="7"/>
      <c r="V88" s="7"/>
      <c r="W88" s="7"/>
      <c r="X88" s="7"/>
      <c r="Y88" s="7"/>
      <c r="Z88" s="7"/>
    </row>
    <row r="89" spans="1:26" x14ac:dyDescent="0.7">
      <c r="A89" s="55"/>
      <c r="B89" s="55"/>
      <c r="C89" s="7"/>
      <c r="D89" s="19"/>
      <c r="E89" s="16"/>
      <c r="F89" s="16"/>
      <c r="G89" s="7"/>
      <c r="H89" s="7"/>
      <c r="I89" s="52"/>
      <c r="J89" s="7"/>
      <c r="K89" s="7"/>
      <c r="L89" s="7"/>
      <c r="M89" s="7"/>
      <c r="N89" s="53"/>
      <c r="O89" s="54"/>
      <c r="P89" s="7" t="str">
        <f t="shared" si="1"/>
        <v/>
      </c>
      <c r="Q89" s="7"/>
      <c r="R89" s="7"/>
      <c r="S89" s="7"/>
      <c r="T89" s="7"/>
      <c r="U89" s="7"/>
      <c r="V89" s="7"/>
      <c r="W89" s="7"/>
      <c r="X89" s="7"/>
      <c r="Y89" s="7"/>
      <c r="Z89" s="7"/>
    </row>
    <row r="90" spans="1:26" x14ac:dyDescent="0.7">
      <c r="A90" s="55"/>
      <c r="B90" s="55"/>
      <c r="C90" s="7"/>
      <c r="D90" s="19"/>
      <c r="E90" s="16"/>
      <c r="F90" s="16"/>
      <c r="G90" s="7"/>
      <c r="H90" s="7"/>
      <c r="I90" s="52"/>
      <c r="J90" s="7"/>
      <c r="K90" s="7"/>
      <c r="L90" s="7"/>
      <c r="M90" s="7"/>
      <c r="N90" s="53"/>
      <c r="O90" s="54"/>
      <c r="P90" s="7" t="str">
        <f t="shared" si="1"/>
        <v/>
      </c>
      <c r="Q90" s="7"/>
      <c r="R90" s="7"/>
      <c r="S90" s="7"/>
      <c r="T90" s="7"/>
      <c r="U90" s="7"/>
      <c r="V90" s="7"/>
      <c r="W90" s="7"/>
      <c r="X90" s="7"/>
      <c r="Y90" s="7"/>
      <c r="Z90" s="7"/>
    </row>
    <row r="91" spans="1:26" x14ac:dyDescent="0.7">
      <c r="A91" s="55"/>
      <c r="B91" s="55"/>
      <c r="C91" s="7"/>
      <c r="D91" s="19"/>
      <c r="E91" s="16"/>
      <c r="F91" s="16"/>
      <c r="G91" s="7"/>
      <c r="H91" s="7"/>
      <c r="I91" s="52"/>
      <c r="J91" s="7"/>
      <c r="K91" s="7"/>
      <c r="L91" s="7"/>
      <c r="M91" s="7"/>
      <c r="N91" s="53"/>
      <c r="O91" s="54"/>
      <c r="P91" s="7" t="str">
        <f t="shared" si="1"/>
        <v/>
      </c>
      <c r="Q91" s="7"/>
      <c r="R91" s="7"/>
      <c r="S91" s="7"/>
      <c r="T91" s="7"/>
      <c r="U91" s="7"/>
      <c r="V91" s="7"/>
      <c r="W91" s="7"/>
      <c r="X91" s="7"/>
      <c r="Y91" s="7"/>
      <c r="Z91" s="7"/>
    </row>
    <row r="92" spans="1:26" x14ac:dyDescent="0.7">
      <c r="A92" s="55"/>
      <c r="B92" s="55"/>
      <c r="C92" s="7"/>
      <c r="D92" s="19"/>
      <c r="E92" s="16"/>
      <c r="F92" s="16"/>
      <c r="G92" s="7"/>
      <c r="H92" s="7"/>
      <c r="I92" s="52"/>
      <c r="J92" s="7"/>
      <c r="K92" s="7"/>
      <c r="L92" s="7"/>
      <c r="M92" s="7"/>
      <c r="N92" s="53"/>
      <c r="O92" s="54"/>
      <c r="P92" s="7" t="str">
        <f t="shared" si="1"/>
        <v/>
      </c>
      <c r="Q92" s="7"/>
      <c r="R92" s="7"/>
      <c r="S92" s="7"/>
      <c r="T92" s="7"/>
      <c r="U92" s="7"/>
      <c r="V92" s="7"/>
      <c r="W92" s="7"/>
      <c r="X92" s="7"/>
      <c r="Y92" s="7"/>
      <c r="Z92" s="7"/>
    </row>
    <row r="93" spans="1:26" x14ac:dyDescent="0.7">
      <c r="A93" s="55"/>
      <c r="B93" s="55"/>
      <c r="C93" s="7"/>
      <c r="D93" s="19"/>
      <c r="E93" s="16"/>
      <c r="F93" s="16"/>
      <c r="G93" s="7"/>
      <c r="H93" s="7"/>
      <c r="I93" s="52"/>
      <c r="J93" s="7"/>
      <c r="K93" s="7"/>
      <c r="L93" s="7"/>
      <c r="M93" s="7"/>
      <c r="N93" s="53"/>
      <c r="O93" s="54"/>
      <c r="P93" s="7" t="str">
        <f t="shared" si="1"/>
        <v/>
      </c>
      <c r="Q93" s="7"/>
      <c r="R93" s="7"/>
      <c r="S93" s="7"/>
      <c r="T93" s="7"/>
      <c r="U93" s="7"/>
      <c r="V93" s="7"/>
      <c r="W93" s="7"/>
      <c r="X93" s="7"/>
      <c r="Y93" s="7"/>
      <c r="Z93" s="7"/>
    </row>
    <row r="94" spans="1:26" x14ac:dyDescent="0.7">
      <c r="A94" s="55"/>
      <c r="B94" s="55"/>
      <c r="C94" s="7"/>
      <c r="D94" s="19"/>
      <c r="E94" s="16"/>
      <c r="F94" s="16"/>
      <c r="G94" s="7"/>
      <c r="H94" s="7"/>
      <c r="I94" s="52"/>
      <c r="J94" s="7"/>
      <c r="K94" s="7"/>
      <c r="L94" s="7"/>
      <c r="M94" s="7"/>
      <c r="N94" s="53"/>
      <c r="O94" s="54"/>
      <c r="P94" s="7" t="str">
        <f t="shared" si="1"/>
        <v/>
      </c>
      <c r="Q94" s="7"/>
      <c r="R94" s="7"/>
      <c r="S94" s="7"/>
      <c r="T94" s="7"/>
      <c r="U94" s="7"/>
      <c r="V94" s="7"/>
      <c r="W94" s="7"/>
      <c r="X94" s="7"/>
      <c r="Y94" s="7"/>
      <c r="Z94" s="7"/>
    </row>
    <row r="95" spans="1:26" x14ac:dyDescent="0.7">
      <c r="A95" s="55"/>
      <c r="B95" s="55"/>
      <c r="C95" s="7"/>
      <c r="D95" s="19"/>
      <c r="E95" s="16"/>
      <c r="F95" s="16"/>
      <c r="G95" s="7"/>
      <c r="H95" s="7"/>
      <c r="I95" s="52"/>
      <c r="J95" s="7"/>
      <c r="K95" s="7"/>
      <c r="L95" s="7"/>
      <c r="M95" s="7"/>
      <c r="N95" s="53"/>
      <c r="O95" s="54"/>
      <c r="P95" s="7" t="str">
        <f t="shared" si="1"/>
        <v/>
      </c>
      <c r="Q95" s="7"/>
      <c r="R95" s="7"/>
      <c r="S95" s="7"/>
      <c r="T95" s="7"/>
      <c r="U95" s="7"/>
      <c r="V95" s="7"/>
      <c r="W95" s="7"/>
      <c r="X95" s="7"/>
      <c r="Y95" s="7"/>
      <c r="Z95" s="7"/>
    </row>
    <row r="96" spans="1:26" x14ac:dyDescent="0.7">
      <c r="A96" s="55"/>
      <c r="B96" s="55"/>
      <c r="C96" s="7"/>
      <c r="D96" s="19"/>
      <c r="E96" s="16"/>
      <c r="F96" s="16"/>
      <c r="G96" s="7"/>
      <c r="H96" s="7"/>
      <c r="I96" s="52"/>
      <c r="J96" s="7"/>
      <c r="K96" s="7"/>
      <c r="L96" s="7"/>
      <c r="M96" s="7"/>
      <c r="N96" s="53"/>
      <c r="O96" s="54"/>
      <c r="P96" s="7" t="str">
        <f t="shared" si="1"/>
        <v/>
      </c>
      <c r="Q96" s="7"/>
      <c r="R96" s="7"/>
      <c r="S96" s="7"/>
      <c r="T96" s="7"/>
      <c r="U96" s="7"/>
      <c r="V96" s="7"/>
      <c r="W96" s="7"/>
      <c r="X96" s="7"/>
      <c r="Y96" s="7"/>
      <c r="Z96" s="7"/>
    </row>
    <row r="97" spans="1:26" x14ac:dyDescent="0.7">
      <c r="A97" s="55"/>
      <c r="B97" s="55"/>
      <c r="C97" s="7"/>
      <c r="D97" s="19"/>
      <c r="E97" s="16"/>
      <c r="F97" s="16"/>
      <c r="G97" s="7"/>
      <c r="H97" s="7"/>
      <c r="I97" s="52"/>
      <c r="J97" s="7"/>
      <c r="K97" s="7"/>
      <c r="L97" s="7"/>
      <c r="M97" s="7"/>
      <c r="N97" s="53"/>
      <c r="O97" s="54"/>
      <c r="P97" s="7" t="str">
        <f t="shared" si="1"/>
        <v/>
      </c>
      <c r="Q97" s="7"/>
      <c r="R97" s="7"/>
      <c r="S97" s="7"/>
      <c r="T97" s="7"/>
      <c r="U97" s="7"/>
      <c r="V97" s="7"/>
      <c r="W97" s="7"/>
      <c r="X97" s="7"/>
      <c r="Y97" s="7"/>
      <c r="Z97" s="7"/>
    </row>
    <row r="98" spans="1:26" x14ac:dyDescent="0.7">
      <c r="A98" s="55"/>
      <c r="B98" s="55"/>
      <c r="C98" s="7"/>
      <c r="D98" s="19"/>
      <c r="E98" s="16"/>
      <c r="F98" s="16"/>
      <c r="G98" s="7"/>
      <c r="H98" s="7"/>
      <c r="I98" s="52"/>
      <c r="J98" s="7"/>
      <c r="K98" s="7"/>
      <c r="L98" s="7"/>
      <c r="M98" s="7"/>
      <c r="N98" s="53"/>
      <c r="O98" s="54"/>
      <c r="P98" s="7" t="str">
        <f t="shared" si="1"/>
        <v/>
      </c>
      <c r="Q98" s="7"/>
      <c r="R98" s="7"/>
      <c r="S98" s="7"/>
      <c r="T98" s="7"/>
      <c r="U98" s="7"/>
      <c r="V98" s="7"/>
      <c r="W98" s="7"/>
      <c r="X98" s="7"/>
      <c r="Y98" s="7"/>
      <c r="Z98" s="7"/>
    </row>
    <row r="99" spans="1:26" x14ac:dyDescent="0.7">
      <c r="A99" s="55"/>
      <c r="B99" s="55"/>
      <c r="C99" s="7"/>
      <c r="D99" s="19"/>
      <c r="E99" s="16"/>
      <c r="F99" s="16"/>
      <c r="G99" s="7"/>
      <c r="H99" s="7"/>
      <c r="I99" s="52"/>
      <c r="J99" s="7"/>
      <c r="K99" s="7"/>
      <c r="L99" s="7"/>
      <c r="M99" s="7"/>
      <c r="N99" s="53"/>
      <c r="O99" s="54"/>
      <c r="P99" s="7" t="str">
        <f t="shared" si="1"/>
        <v/>
      </c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spans="1:26" x14ac:dyDescent="0.7">
      <c r="A100" s="55"/>
      <c r="B100" s="55"/>
      <c r="C100" s="7"/>
      <c r="D100" s="19"/>
      <c r="E100" s="16"/>
      <c r="F100" s="16"/>
      <c r="G100" s="7"/>
      <c r="H100" s="7"/>
      <c r="I100" s="52"/>
      <c r="J100" s="7"/>
      <c r="K100" s="7"/>
      <c r="L100" s="7"/>
      <c r="M100" s="7"/>
      <c r="N100" s="53"/>
      <c r="O100" s="54"/>
      <c r="P100" s="7" t="str">
        <f t="shared" si="1"/>
        <v/>
      </c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spans="1:26" x14ac:dyDescent="0.7">
      <c r="A101" s="55"/>
      <c r="B101" s="55"/>
      <c r="C101" s="7"/>
      <c r="D101" s="19"/>
      <c r="E101" s="16"/>
      <c r="F101" s="16"/>
      <c r="G101" s="7"/>
      <c r="H101" s="7"/>
      <c r="I101" s="52"/>
      <c r="J101" s="7"/>
      <c r="K101" s="7"/>
      <c r="L101" s="7"/>
      <c r="M101" s="7"/>
      <c r="N101" s="53"/>
      <c r="O101" s="54"/>
      <c r="P101" s="7" t="str">
        <f t="shared" si="1"/>
        <v/>
      </c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spans="1:26" x14ac:dyDescent="0.7">
      <c r="A102" s="55"/>
      <c r="B102" s="55"/>
      <c r="C102" s="7"/>
      <c r="D102" s="19"/>
      <c r="E102" s="16"/>
      <c r="F102" s="16"/>
      <c r="G102" s="7"/>
      <c r="H102" s="7"/>
      <c r="I102" s="52"/>
      <c r="J102" s="7"/>
      <c r="K102" s="7"/>
      <c r="L102" s="7"/>
      <c r="M102" s="7"/>
      <c r="N102" s="53"/>
      <c r="O102" s="54"/>
      <c r="P102" s="7" t="str">
        <f t="shared" si="1"/>
        <v/>
      </c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spans="1:26" x14ac:dyDescent="0.7">
      <c r="A103" s="55"/>
      <c r="B103" s="55"/>
      <c r="C103" s="7"/>
      <c r="D103" s="19"/>
      <c r="E103" s="16"/>
      <c r="F103" s="16"/>
      <c r="G103" s="7"/>
      <c r="H103" s="7"/>
      <c r="I103" s="52"/>
      <c r="J103" s="7"/>
      <c r="K103" s="7"/>
      <c r="L103" s="7"/>
      <c r="M103" s="7"/>
      <c r="N103" s="53"/>
      <c r="O103" s="54"/>
      <c r="P103" s="7" t="str">
        <f t="shared" si="1"/>
        <v/>
      </c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spans="1:26" x14ac:dyDescent="0.7">
      <c r="A104" s="55"/>
      <c r="B104" s="55"/>
      <c r="C104" s="7"/>
      <c r="D104" s="19"/>
      <c r="E104" s="16"/>
      <c r="F104" s="16"/>
      <c r="G104" s="7"/>
      <c r="H104" s="7"/>
      <c r="I104" s="52"/>
      <c r="J104" s="7"/>
      <c r="K104" s="7"/>
      <c r="L104" s="7"/>
      <c r="M104" s="7"/>
      <c r="N104" s="53"/>
      <c r="O104" s="54"/>
      <c r="P104" s="7" t="str">
        <f t="shared" si="1"/>
        <v/>
      </c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spans="1:26" x14ac:dyDescent="0.7">
      <c r="A105" s="55"/>
      <c r="B105" s="55"/>
      <c r="C105" s="7"/>
      <c r="D105" s="19"/>
      <c r="E105" s="16"/>
      <c r="F105" s="16"/>
      <c r="G105" s="7"/>
      <c r="H105" s="7"/>
      <c r="I105" s="52"/>
      <c r="J105" s="7"/>
      <c r="K105" s="7"/>
      <c r="L105" s="7"/>
      <c r="M105" s="7"/>
      <c r="N105" s="53"/>
      <c r="O105" s="54"/>
      <c r="P105" s="7" t="str">
        <f t="shared" si="1"/>
        <v/>
      </c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spans="1:26" x14ac:dyDescent="0.7">
      <c r="A106" s="55"/>
      <c r="B106" s="55"/>
      <c r="C106" s="7"/>
      <c r="D106" s="19"/>
      <c r="E106" s="16"/>
      <c r="F106" s="16"/>
      <c r="G106" s="7"/>
      <c r="H106" s="7"/>
      <c r="I106" s="52"/>
      <c r="J106" s="7"/>
      <c r="K106" s="7"/>
      <c r="L106" s="7"/>
      <c r="M106" s="7"/>
      <c r="N106" s="53"/>
      <c r="O106" s="54"/>
      <c r="P106" s="7" t="str">
        <f t="shared" si="1"/>
        <v/>
      </c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spans="1:26" x14ac:dyDescent="0.7">
      <c r="A107" s="55"/>
      <c r="B107" s="55"/>
      <c r="C107" s="7"/>
      <c r="D107" s="19"/>
      <c r="E107" s="16"/>
      <c r="F107" s="16"/>
      <c r="G107" s="7"/>
      <c r="H107" s="7"/>
      <c r="I107" s="52"/>
      <c r="J107" s="7"/>
      <c r="K107" s="7"/>
      <c r="L107" s="7"/>
      <c r="M107" s="7"/>
      <c r="N107" s="53"/>
      <c r="O107" s="54"/>
      <c r="P107" s="7" t="str">
        <f t="shared" si="1"/>
        <v/>
      </c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spans="1:26" x14ac:dyDescent="0.7">
      <c r="A108" s="55"/>
      <c r="B108" s="55"/>
      <c r="C108" s="7"/>
      <c r="D108" s="19"/>
      <c r="E108" s="16"/>
      <c r="F108" s="16"/>
      <c r="G108" s="7"/>
      <c r="H108" s="7"/>
      <c r="I108" s="52"/>
      <c r="J108" s="7"/>
      <c r="K108" s="7"/>
      <c r="L108" s="7"/>
      <c r="M108" s="7"/>
      <c r="N108" s="53"/>
      <c r="O108" s="54"/>
      <c r="P108" s="7" t="str">
        <f t="shared" si="1"/>
        <v/>
      </c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spans="1:26" x14ac:dyDescent="0.7">
      <c r="A109" s="55"/>
      <c r="B109" s="55"/>
      <c r="C109" s="7"/>
      <c r="D109" s="19"/>
      <c r="E109" s="16"/>
      <c r="F109" s="16"/>
      <c r="G109" s="7"/>
      <c r="H109" s="7"/>
      <c r="I109" s="52"/>
      <c r="J109" s="7"/>
      <c r="K109" s="7"/>
      <c r="L109" s="7"/>
      <c r="M109" s="7"/>
      <c r="N109" s="53"/>
      <c r="O109" s="54"/>
      <c r="P109" s="7" t="str">
        <f t="shared" si="1"/>
        <v/>
      </c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spans="1:26" x14ac:dyDescent="0.7">
      <c r="A110" s="55"/>
      <c r="B110" s="55"/>
      <c r="C110" s="7"/>
      <c r="D110" s="19"/>
      <c r="E110" s="16"/>
      <c r="F110" s="16"/>
      <c r="G110" s="7"/>
      <c r="H110" s="7"/>
      <c r="I110" s="52"/>
      <c r="J110" s="7"/>
      <c r="K110" s="7"/>
      <c r="L110" s="7"/>
      <c r="M110" s="7"/>
      <c r="N110" s="53"/>
      <c r="O110" s="54"/>
      <c r="P110" s="7" t="str">
        <f t="shared" si="1"/>
        <v/>
      </c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spans="1:26" x14ac:dyDescent="0.7">
      <c r="A111" s="55"/>
      <c r="B111" s="55"/>
      <c r="C111" s="7"/>
      <c r="D111" s="19"/>
      <c r="E111" s="16"/>
      <c r="F111" s="16"/>
      <c r="G111" s="7"/>
      <c r="H111" s="7"/>
      <c r="I111" s="52"/>
      <c r="J111" s="7"/>
      <c r="K111" s="7"/>
      <c r="L111" s="7"/>
      <c r="M111" s="7"/>
      <c r="N111" s="53"/>
      <c r="O111" s="54"/>
      <c r="P111" s="7" t="str">
        <f t="shared" si="1"/>
        <v/>
      </c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spans="1:26" x14ac:dyDescent="0.7">
      <c r="A112" s="55"/>
      <c r="B112" s="55"/>
      <c r="C112" s="7"/>
      <c r="D112" s="19"/>
      <c r="E112" s="16"/>
      <c r="F112" s="16"/>
      <c r="G112" s="7"/>
      <c r="H112" s="7"/>
      <c r="I112" s="52"/>
      <c r="J112" s="7"/>
      <c r="K112" s="7"/>
      <c r="L112" s="7"/>
      <c r="M112" s="7"/>
      <c r="N112" s="53"/>
      <c r="O112" s="54"/>
      <c r="P112" s="7" t="str">
        <f t="shared" si="1"/>
        <v/>
      </c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spans="1:26" x14ac:dyDescent="0.7">
      <c r="A113" s="55"/>
      <c r="B113" s="55"/>
      <c r="C113" s="7"/>
      <c r="D113" s="19"/>
      <c r="E113" s="16"/>
      <c r="F113" s="16"/>
      <c r="G113" s="7"/>
      <c r="H113" s="7"/>
      <c r="I113" s="52"/>
      <c r="J113" s="7"/>
      <c r="K113" s="7"/>
      <c r="L113" s="7"/>
      <c r="M113" s="7"/>
      <c r="N113" s="53"/>
      <c r="O113" s="54"/>
      <c r="P113" s="7" t="str">
        <f t="shared" si="1"/>
        <v/>
      </c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spans="1:26" x14ac:dyDescent="0.7">
      <c r="A114" s="55"/>
      <c r="B114" s="55"/>
      <c r="C114" s="7"/>
      <c r="D114" s="19"/>
      <c r="E114" s="16"/>
      <c r="F114" s="16"/>
      <c r="G114" s="7"/>
      <c r="H114" s="7"/>
      <c r="I114" s="52"/>
      <c r="J114" s="7"/>
      <c r="K114" s="7"/>
      <c r="L114" s="7"/>
      <c r="M114" s="7"/>
      <c r="N114" s="53"/>
      <c r="O114" s="54"/>
      <c r="P114" s="7" t="str">
        <f t="shared" si="1"/>
        <v/>
      </c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spans="1:26" x14ac:dyDescent="0.7">
      <c r="A115" s="55"/>
      <c r="B115" s="55"/>
      <c r="C115" s="7"/>
      <c r="D115" s="19"/>
      <c r="E115" s="16"/>
      <c r="F115" s="16"/>
      <c r="G115" s="7"/>
      <c r="H115" s="7"/>
      <c r="I115" s="52"/>
      <c r="J115" s="7"/>
      <c r="K115" s="7"/>
      <c r="L115" s="7"/>
      <c r="M115" s="7"/>
      <c r="N115" s="53"/>
      <c r="O115" s="54"/>
      <c r="P115" s="7" t="str">
        <f t="shared" si="1"/>
        <v/>
      </c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spans="1:26" x14ac:dyDescent="0.7">
      <c r="A116" s="55"/>
      <c r="B116" s="55"/>
      <c r="C116" s="7"/>
      <c r="D116" s="19"/>
      <c r="E116" s="16"/>
      <c r="F116" s="16"/>
      <c r="G116" s="7"/>
      <c r="H116" s="7"/>
      <c r="I116" s="52"/>
      <c r="J116" s="7"/>
      <c r="K116" s="7"/>
      <c r="L116" s="7"/>
      <c r="M116" s="7"/>
      <c r="N116" s="53"/>
      <c r="O116" s="54"/>
      <c r="P116" s="7" t="str">
        <f t="shared" si="1"/>
        <v/>
      </c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spans="1:26" x14ac:dyDescent="0.7">
      <c r="A117" s="55"/>
      <c r="B117" s="55"/>
      <c r="C117" s="7"/>
      <c r="D117" s="19"/>
      <c r="E117" s="16"/>
      <c r="F117" s="16"/>
      <c r="G117" s="7"/>
      <c r="H117" s="7"/>
      <c r="I117" s="52"/>
      <c r="J117" s="7"/>
      <c r="K117" s="7"/>
      <c r="L117" s="7"/>
      <c r="M117" s="7"/>
      <c r="N117" s="53"/>
      <c r="O117" s="54"/>
      <c r="P117" s="7" t="str">
        <f t="shared" si="1"/>
        <v/>
      </c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spans="1:26" x14ac:dyDescent="0.7">
      <c r="A118" s="55"/>
      <c r="B118" s="55"/>
      <c r="C118" s="7"/>
      <c r="D118" s="19"/>
      <c r="E118" s="16"/>
      <c r="F118" s="16"/>
      <c r="G118" s="7"/>
      <c r="H118" s="7"/>
      <c r="I118" s="52"/>
      <c r="J118" s="7"/>
      <c r="K118" s="7"/>
      <c r="L118" s="7"/>
      <c r="M118" s="7"/>
      <c r="N118" s="53"/>
      <c r="O118" s="54"/>
      <c r="P118" s="7" t="str">
        <f t="shared" si="1"/>
        <v/>
      </c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spans="1:26" x14ac:dyDescent="0.7">
      <c r="A119" s="55"/>
      <c r="B119" s="55"/>
      <c r="C119" s="7"/>
      <c r="D119" s="19"/>
      <c r="E119" s="16"/>
      <c r="F119" s="16"/>
      <c r="G119" s="7"/>
      <c r="H119" s="7"/>
      <c r="I119" s="52"/>
      <c r="J119" s="7"/>
      <c r="K119" s="7"/>
      <c r="L119" s="7"/>
      <c r="M119" s="7"/>
      <c r="N119" s="53"/>
      <c r="O119" s="54"/>
      <c r="P119" s="7" t="str">
        <f t="shared" si="1"/>
        <v/>
      </c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spans="1:26" x14ac:dyDescent="0.7">
      <c r="A120" s="55"/>
      <c r="B120" s="55"/>
      <c r="C120" s="7"/>
      <c r="D120" s="19"/>
      <c r="E120" s="16"/>
      <c r="F120" s="16"/>
      <c r="G120" s="7"/>
      <c r="H120" s="7"/>
      <c r="I120" s="52"/>
      <c r="J120" s="7"/>
      <c r="K120" s="7"/>
      <c r="L120" s="7"/>
      <c r="M120" s="7"/>
      <c r="N120" s="53"/>
      <c r="O120" s="54"/>
      <c r="P120" s="7" t="str">
        <f t="shared" si="1"/>
        <v/>
      </c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spans="1:26" x14ac:dyDescent="0.7">
      <c r="A121" s="55"/>
      <c r="B121" s="55"/>
      <c r="C121" s="7"/>
      <c r="D121" s="19"/>
      <c r="E121" s="16"/>
      <c r="F121" s="16"/>
      <c r="G121" s="7"/>
      <c r="H121" s="7"/>
      <c r="I121" s="52"/>
      <c r="J121" s="7"/>
      <c r="K121" s="7"/>
      <c r="L121" s="7"/>
      <c r="M121" s="7"/>
      <c r="N121" s="53"/>
      <c r="O121" s="54"/>
      <c r="P121" s="7" t="str">
        <f t="shared" si="1"/>
        <v/>
      </c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spans="1:26" x14ac:dyDescent="0.7">
      <c r="A122" s="55"/>
      <c r="B122" s="55"/>
      <c r="C122" s="7"/>
      <c r="D122" s="19"/>
      <c r="E122" s="16"/>
      <c r="F122" s="16"/>
      <c r="G122" s="7"/>
      <c r="H122" s="7"/>
      <c r="I122" s="52"/>
      <c r="J122" s="7"/>
      <c r="K122" s="7"/>
      <c r="L122" s="7"/>
      <c r="M122" s="7"/>
      <c r="N122" s="53"/>
      <c r="O122" s="54"/>
      <c r="P122" s="7" t="str">
        <f t="shared" si="1"/>
        <v/>
      </c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spans="1:26" x14ac:dyDescent="0.7">
      <c r="A123" s="55"/>
      <c r="B123" s="55"/>
      <c r="C123" s="7"/>
      <c r="D123" s="19"/>
      <c r="E123" s="16"/>
      <c r="F123" s="16"/>
      <c r="G123" s="7"/>
      <c r="H123" s="7"/>
      <c r="I123" s="52"/>
      <c r="J123" s="7"/>
      <c r="K123" s="7"/>
      <c r="L123" s="7"/>
      <c r="M123" s="7"/>
      <c r="N123" s="53"/>
      <c r="O123" s="54"/>
      <c r="P123" s="7" t="str">
        <f t="shared" si="1"/>
        <v/>
      </c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spans="1:26" x14ac:dyDescent="0.7">
      <c r="A124" s="55"/>
      <c r="B124" s="55"/>
      <c r="C124" s="7"/>
      <c r="D124" s="19"/>
      <c r="E124" s="16"/>
      <c r="F124" s="16"/>
      <c r="G124" s="7"/>
      <c r="H124" s="7"/>
      <c r="I124" s="52"/>
      <c r="J124" s="7"/>
      <c r="K124" s="7"/>
      <c r="L124" s="7"/>
      <c r="M124" s="7"/>
      <c r="N124" s="53"/>
      <c r="O124" s="54"/>
      <c r="P124" s="7" t="str">
        <f t="shared" si="1"/>
        <v/>
      </c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spans="1:26" x14ac:dyDescent="0.7">
      <c r="A125" s="55"/>
      <c r="B125" s="55"/>
      <c r="C125" s="7"/>
      <c r="D125" s="19"/>
      <c r="E125" s="16"/>
      <c r="F125" s="16"/>
      <c r="G125" s="7"/>
      <c r="H125" s="7"/>
      <c r="I125" s="52"/>
      <c r="J125" s="7"/>
      <c r="K125" s="7"/>
      <c r="L125" s="7"/>
      <c r="M125" s="7"/>
      <c r="N125" s="53"/>
      <c r="O125" s="54"/>
      <c r="P125" s="7" t="str">
        <f t="shared" si="1"/>
        <v/>
      </c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spans="1:26" x14ac:dyDescent="0.7">
      <c r="A126" s="55"/>
      <c r="B126" s="55"/>
      <c r="C126" s="7"/>
      <c r="D126" s="19"/>
      <c r="E126" s="16"/>
      <c r="F126" s="16"/>
      <c r="G126" s="7"/>
      <c r="H126" s="7"/>
      <c r="I126" s="52"/>
      <c r="J126" s="7"/>
      <c r="K126" s="7"/>
      <c r="L126" s="7"/>
      <c r="M126" s="7"/>
      <c r="N126" s="53"/>
      <c r="O126" s="54"/>
      <c r="P126" s="7" t="str">
        <f t="shared" si="1"/>
        <v/>
      </c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spans="1:26" x14ac:dyDescent="0.7">
      <c r="A127" s="55"/>
      <c r="B127" s="55"/>
      <c r="C127" s="7"/>
      <c r="D127" s="19"/>
      <c r="E127" s="16"/>
      <c r="F127" s="16"/>
      <c r="G127" s="7"/>
      <c r="H127" s="7"/>
      <c r="I127" s="52"/>
      <c r="J127" s="7"/>
      <c r="K127" s="7"/>
      <c r="L127" s="7"/>
      <c r="M127" s="7"/>
      <c r="N127" s="53"/>
      <c r="O127" s="54"/>
      <c r="P127" s="7" t="str">
        <f t="shared" si="1"/>
        <v/>
      </c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spans="1:26" x14ac:dyDescent="0.7">
      <c r="A128" s="55"/>
      <c r="B128" s="55"/>
      <c r="C128" s="7"/>
      <c r="D128" s="19"/>
      <c r="E128" s="16"/>
      <c r="F128" s="16"/>
      <c r="G128" s="7"/>
      <c r="H128" s="7"/>
      <c r="I128" s="52"/>
      <c r="J128" s="7"/>
      <c r="K128" s="7"/>
      <c r="L128" s="7"/>
      <c r="M128" s="7"/>
      <c r="N128" s="53"/>
      <c r="O128" s="54"/>
      <c r="P128" s="7" t="str">
        <f t="shared" si="1"/>
        <v/>
      </c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spans="1:26" x14ac:dyDescent="0.7">
      <c r="A129" s="55"/>
      <c r="B129" s="55"/>
      <c r="C129" s="7"/>
      <c r="D129" s="19"/>
      <c r="E129" s="16"/>
      <c r="F129" s="16"/>
      <c r="G129" s="7"/>
      <c r="H129" s="7"/>
      <c r="I129" s="52"/>
      <c r="J129" s="7"/>
      <c r="K129" s="7"/>
      <c r="L129" s="7"/>
      <c r="M129" s="7"/>
      <c r="N129" s="53"/>
      <c r="O129" s="54"/>
      <c r="P129" s="7" t="str">
        <f t="shared" si="1"/>
        <v/>
      </c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spans="1:26" x14ac:dyDescent="0.7">
      <c r="A130" s="55"/>
      <c r="B130" s="55"/>
      <c r="C130" s="7"/>
      <c r="D130" s="19"/>
      <c r="E130" s="16"/>
      <c r="F130" s="16"/>
      <c r="G130" s="7"/>
      <c r="H130" s="7"/>
      <c r="I130" s="52"/>
      <c r="J130" s="7"/>
      <c r="K130" s="7"/>
      <c r="L130" s="7"/>
      <c r="M130" s="7"/>
      <c r="N130" s="53"/>
      <c r="O130" s="54"/>
      <c r="P130" s="7" t="str">
        <f t="shared" si="1"/>
        <v/>
      </c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spans="1:26" x14ac:dyDescent="0.7">
      <c r="A131" s="55"/>
      <c r="B131" s="55"/>
      <c r="C131" s="7"/>
      <c r="D131" s="19"/>
      <c r="E131" s="16"/>
      <c r="F131" s="16"/>
      <c r="G131" s="7"/>
      <c r="H131" s="7"/>
      <c r="I131" s="52"/>
      <c r="J131" s="7"/>
      <c r="K131" s="7"/>
      <c r="L131" s="7"/>
      <c r="M131" s="7"/>
      <c r="N131" s="53"/>
      <c r="O131" s="54"/>
      <c r="P131" s="7" t="str">
        <f t="shared" si="1"/>
        <v/>
      </c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spans="1:26" x14ac:dyDescent="0.7">
      <c r="A132" s="55"/>
      <c r="B132" s="55"/>
      <c r="C132" s="7"/>
      <c r="D132" s="19"/>
      <c r="E132" s="16"/>
      <c r="F132" s="16"/>
      <c r="G132" s="7"/>
      <c r="H132" s="7"/>
      <c r="I132" s="52"/>
      <c r="J132" s="7"/>
      <c r="K132" s="7"/>
      <c r="L132" s="7"/>
      <c r="M132" s="7"/>
      <c r="N132" s="53"/>
      <c r="O132" s="54"/>
      <c r="P132" s="7" t="str">
        <f t="shared" si="1"/>
        <v/>
      </c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spans="1:26" x14ac:dyDescent="0.7">
      <c r="A133" s="55"/>
      <c r="B133" s="55"/>
      <c r="C133" s="7"/>
      <c r="D133" s="19"/>
      <c r="E133" s="16"/>
      <c r="F133" s="16"/>
      <c r="G133" s="7"/>
      <c r="H133" s="7"/>
      <c r="I133" s="52"/>
      <c r="J133" s="7"/>
      <c r="K133" s="7"/>
      <c r="L133" s="7"/>
      <c r="M133" s="7"/>
      <c r="N133" s="53"/>
      <c r="O133" s="54"/>
      <c r="P133" s="7" t="str">
        <f t="shared" si="1"/>
        <v/>
      </c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spans="1:26" x14ac:dyDescent="0.7">
      <c r="A134" s="55"/>
      <c r="B134" s="55"/>
      <c r="C134" s="7"/>
      <c r="D134" s="19"/>
      <c r="E134" s="16"/>
      <c r="F134" s="16"/>
      <c r="G134" s="7"/>
      <c r="H134" s="7"/>
      <c r="I134" s="52"/>
      <c r="J134" s="7"/>
      <c r="K134" s="7"/>
      <c r="L134" s="7"/>
      <c r="M134" s="7"/>
      <c r="N134" s="53"/>
      <c r="O134" s="54"/>
      <c r="P134" s="7" t="str">
        <f t="shared" si="1"/>
        <v/>
      </c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spans="1:26" x14ac:dyDescent="0.7">
      <c r="A135" s="55"/>
      <c r="B135" s="55"/>
      <c r="C135" s="7"/>
      <c r="D135" s="19"/>
      <c r="E135" s="16"/>
      <c r="F135" s="16"/>
      <c r="G135" s="7"/>
      <c r="H135" s="7"/>
      <c r="I135" s="52"/>
      <c r="J135" s="7"/>
      <c r="K135" s="7"/>
      <c r="L135" s="7"/>
      <c r="M135" s="7"/>
      <c r="N135" s="53"/>
      <c r="O135" s="54"/>
      <c r="P135" s="7" t="str">
        <f t="shared" ref="P135:P198" si="2">IF(I135="","",SUMIFS(OrderItems_Qty,OrderItems_Type,"PURCHASE",OrderItems_SKU,I135)-SUMIFS(OrderItems_Qty,OrderItems_Type,"SALE",OrderItems_SKU,I135))</f>
        <v/>
      </c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spans="1:26" x14ac:dyDescent="0.7">
      <c r="A136" s="55"/>
      <c r="B136" s="55"/>
      <c r="C136" s="7"/>
      <c r="D136" s="19"/>
      <c r="E136" s="16"/>
      <c r="F136" s="16"/>
      <c r="G136" s="7"/>
      <c r="H136" s="7"/>
      <c r="I136" s="52"/>
      <c r="J136" s="7"/>
      <c r="K136" s="7"/>
      <c r="L136" s="7"/>
      <c r="M136" s="7"/>
      <c r="N136" s="53"/>
      <c r="O136" s="54"/>
      <c r="P136" s="7" t="str">
        <f t="shared" si="2"/>
        <v/>
      </c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spans="1:26" x14ac:dyDescent="0.7">
      <c r="A137" s="55"/>
      <c r="B137" s="55"/>
      <c r="C137" s="7"/>
      <c r="D137" s="19"/>
      <c r="E137" s="16"/>
      <c r="F137" s="16"/>
      <c r="G137" s="7"/>
      <c r="H137" s="7"/>
      <c r="I137" s="52"/>
      <c r="J137" s="7"/>
      <c r="K137" s="7"/>
      <c r="L137" s="7"/>
      <c r="M137" s="7"/>
      <c r="N137" s="53"/>
      <c r="O137" s="54"/>
      <c r="P137" s="7" t="str">
        <f t="shared" si="2"/>
        <v/>
      </c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spans="1:26" x14ac:dyDescent="0.7">
      <c r="A138" s="55"/>
      <c r="B138" s="55"/>
      <c r="C138" s="7"/>
      <c r="D138" s="19"/>
      <c r="E138" s="16"/>
      <c r="F138" s="16"/>
      <c r="G138" s="7"/>
      <c r="H138" s="7"/>
      <c r="I138" s="52"/>
      <c r="J138" s="7"/>
      <c r="K138" s="7"/>
      <c r="L138" s="7"/>
      <c r="M138" s="7"/>
      <c r="N138" s="53"/>
      <c r="O138" s="54"/>
      <c r="P138" s="7" t="str">
        <f t="shared" si="2"/>
        <v/>
      </c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spans="1:26" x14ac:dyDescent="0.7">
      <c r="A139" s="55"/>
      <c r="B139" s="55"/>
      <c r="C139" s="7"/>
      <c r="D139" s="19"/>
      <c r="E139" s="16"/>
      <c r="F139" s="16"/>
      <c r="G139" s="7"/>
      <c r="H139" s="7"/>
      <c r="I139" s="52"/>
      <c r="J139" s="7"/>
      <c r="K139" s="7"/>
      <c r="L139" s="7"/>
      <c r="M139" s="7"/>
      <c r="N139" s="53"/>
      <c r="O139" s="54"/>
      <c r="P139" s="7" t="str">
        <f t="shared" si="2"/>
        <v/>
      </c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spans="1:26" x14ac:dyDescent="0.7">
      <c r="A140" s="55"/>
      <c r="B140" s="55"/>
      <c r="C140" s="7"/>
      <c r="D140" s="19"/>
      <c r="E140" s="16"/>
      <c r="F140" s="16"/>
      <c r="G140" s="7"/>
      <c r="H140" s="7"/>
      <c r="I140" s="52"/>
      <c r="J140" s="7"/>
      <c r="K140" s="7"/>
      <c r="L140" s="7"/>
      <c r="M140" s="7"/>
      <c r="N140" s="53"/>
      <c r="O140" s="54"/>
      <c r="P140" s="7" t="str">
        <f t="shared" si="2"/>
        <v/>
      </c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spans="1:26" x14ac:dyDescent="0.7">
      <c r="A141" s="55"/>
      <c r="B141" s="55"/>
      <c r="C141" s="7"/>
      <c r="D141" s="19"/>
      <c r="E141" s="16"/>
      <c r="F141" s="16"/>
      <c r="G141" s="7"/>
      <c r="H141" s="7"/>
      <c r="I141" s="52"/>
      <c r="J141" s="7"/>
      <c r="K141" s="7"/>
      <c r="L141" s="7"/>
      <c r="M141" s="7"/>
      <c r="N141" s="53"/>
      <c r="O141" s="54"/>
      <c r="P141" s="7" t="str">
        <f t="shared" si="2"/>
        <v/>
      </c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spans="1:26" x14ac:dyDescent="0.7">
      <c r="A142" s="55"/>
      <c r="B142" s="55"/>
      <c r="C142" s="7"/>
      <c r="D142" s="19"/>
      <c r="E142" s="16"/>
      <c r="F142" s="16"/>
      <c r="G142" s="7"/>
      <c r="H142" s="7"/>
      <c r="I142" s="52"/>
      <c r="J142" s="7"/>
      <c r="K142" s="7"/>
      <c r="L142" s="7"/>
      <c r="M142" s="7"/>
      <c r="N142" s="53"/>
      <c r="O142" s="54"/>
      <c r="P142" s="7" t="str">
        <f t="shared" si="2"/>
        <v/>
      </c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spans="1:26" x14ac:dyDescent="0.7">
      <c r="A143" s="55"/>
      <c r="B143" s="55"/>
      <c r="C143" s="7"/>
      <c r="D143" s="19"/>
      <c r="E143" s="16"/>
      <c r="F143" s="16"/>
      <c r="G143" s="7"/>
      <c r="H143" s="7"/>
      <c r="I143" s="52"/>
      <c r="J143" s="7"/>
      <c r="K143" s="7"/>
      <c r="L143" s="7"/>
      <c r="M143" s="7"/>
      <c r="N143" s="53"/>
      <c r="O143" s="54"/>
      <c r="P143" s="7" t="str">
        <f t="shared" si="2"/>
        <v/>
      </c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spans="1:26" x14ac:dyDescent="0.7">
      <c r="A144" s="55"/>
      <c r="B144" s="55"/>
      <c r="C144" s="7"/>
      <c r="D144" s="19"/>
      <c r="E144" s="16"/>
      <c r="F144" s="16"/>
      <c r="G144" s="7"/>
      <c r="H144" s="7"/>
      <c r="I144" s="52"/>
      <c r="J144" s="7"/>
      <c r="K144" s="7"/>
      <c r="L144" s="7"/>
      <c r="M144" s="7"/>
      <c r="N144" s="53"/>
      <c r="O144" s="54"/>
      <c r="P144" s="7" t="str">
        <f t="shared" si="2"/>
        <v/>
      </c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spans="1:26" x14ac:dyDescent="0.7">
      <c r="A145" s="55"/>
      <c r="B145" s="55"/>
      <c r="C145" s="7"/>
      <c r="D145" s="19"/>
      <c r="E145" s="16"/>
      <c r="F145" s="16"/>
      <c r="G145" s="7"/>
      <c r="H145" s="7"/>
      <c r="I145" s="52"/>
      <c r="J145" s="7"/>
      <c r="K145" s="7"/>
      <c r="L145" s="7"/>
      <c r="M145" s="7"/>
      <c r="N145" s="53"/>
      <c r="O145" s="54"/>
      <c r="P145" s="7" t="str">
        <f t="shared" si="2"/>
        <v/>
      </c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spans="1:26" x14ac:dyDescent="0.7">
      <c r="A146" s="55"/>
      <c r="B146" s="55"/>
      <c r="C146" s="7"/>
      <c r="D146" s="19"/>
      <c r="E146" s="16"/>
      <c r="F146" s="16"/>
      <c r="G146" s="7"/>
      <c r="H146" s="7"/>
      <c r="I146" s="52"/>
      <c r="J146" s="7"/>
      <c r="K146" s="7"/>
      <c r="L146" s="7"/>
      <c r="M146" s="7"/>
      <c r="N146" s="53"/>
      <c r="O146" s="54"/>
      <c r="P146" s="7" t="str">
        <f t="shared" si="2"/>
        <v/>
      </c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spans="1:26" x14ac:dyDescent="0.7">
      <c r="A147" s="55"/>
      <c r="B147" s="55"/>
      <c r="C147" s="7"/>
      <c r="D147" s="19"/>
      <c r="E147" s="16"/>
      <c r="F147" s="16"/>
      <c r="G147" s="7"/>
      <c r="H147" s="7"/>
      <c r="I147" s="52"/>
      <c r="J147" s="7"/>
      <c r="K147" s="7"/>
      <c r="L147" s="7"/>
      <c r="M147" s="7"/>
      <c r="N147" s="53"/>
      <c r="O147" s="54"/>
      <c r="P147" s="7" t="str">
        <f t="shared" si="2"/>
        <v/>
      </c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spans="1:26" x14ac:dyDescent="0.7">
      <c r="A148" s="55"/>
      <c r="B148" s="55"/>
      <c r="C148" s="7"/>
      <c r="D148" s="19"/>
      <c r="E148" s="16"/>
      <c r="F148" s="16"/>
      <c r="G148" s="7"/>
      <c r="H148" s="7"/>
      <c r="I148" s="52"/>
      <c r="J148" s="7"/>
      <c r="K148" s="7"/>
      <c r="L148" s="7"/>
      <c r="M148" s="7"/>
      <c r="N148" s="53"/>
      <c r="O148" s="54"/>
      <c r="P148" s="7" t="str">
        <f t="shared" si="2"/>
        <v/>
      </c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spans="1:26" x14ac:dyDescent="0.7">
      <c r="A149" s="55"/>
      <c r="B149" s="55"/>
      <c r="C149" s="7"/>
      <c r="D149" s="19"/>
      <c r="E149" s="16"/>
      <c r="F149" s="16"/>
      <c r="G149" s="7"/>
      <c r="H149" s="7"/>
      <c r="I149" s="52"/>
      <c r="J149" s="7"/>
      <c r="K149" s="7"/>
      <c r="L149" s="7"/>
      <c r="M149" s="7"/>
      <c r="N149" s="53"/>
      <c r="O149" s="54"/>
      <c r="P149" s="7" t="str">
        <f t="shared" si="2"/>
        <v/>
      </c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spans="1:26" x14ac:dyDescent="0.7">
      <c r="A150" s="55"/>
      <c r="B150" s="55"/>
      <c r="C150" s="7"/>
      <c r="D150" s="19"/>
      <c r="E150" s="16"/>
      <c r="F150" s="16"/>
      <c r="G150" s="7"/>
      <c r="H150" s="7"/>
      <c r="I150" s="52"/>
      <c r="J150" s="7"/>
      <c r="K150" s="7"/>
      <c r="L150" s="7"/>
      <c r="M150" s="7"/>
      <c r="N150" s="53"/>
      <c r="O150" s="54"/>
      <c r="P150" s="7" t="str">
        <f t="shared" si="2"/>
        <v/>
      </c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spans="1:26" x14ac:dyDescent="0.7">
      <c r="A151" s="55"/>
      <c r="B151" s="55"/>
      <c r="C151" s="7"/>
      <c r="D151" s="19"/>
      <c r="E151" s="16"/>
      <c r="F151" s="16"/>
      <c r="G151" s="7"/>
      <c r="H151" s="7"/>
      <c r="I151" s="52"/>
      <c r="J151" s="7"/>
      <c r="K151" s="7"/>
      <c r="L151" s="7"/>
      <c r="M151" s="7"/>
      <c r="N151" s="53"/>
      <c r="O151" s="54"/>
      <c r="P151" s="7" t="str">
        <f t="shared" si="2"/>
        <v/>
      </c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spans="1:26" x14ac:dyDescent="0.7">
      <c r="A152" s="55"/>
      <c r="B152" s="55"/>
      <c r="C152" s="7"/>
      <c r="D152" s="19"/>
      <c r="E152" s="16"/>
      <c r="F152" s="16"/>
      <c r="G152" s="7"/>
      <c r="H152" s="7"/>
      <c r="I152" s="52"/>
      <c r="J152" s="7"/>
      <c r="K152" s="7"/>
      <c r="L152" s="7"/>
      <c r="M152" s="7"/>
      <c r="N152" s="53"/>
      <c r="O152" s="54"/>
      <c r="P152" s="7" t="str">
        <f t="shared" si="2"/>
        <v/>
      </c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spans="1:26" x14ac:dyDescent="0.7">
      <c r="A153" s="55"/>
      <c r="B153" s="55"/>
      <c r="C153" s="7"/>
      <c r="D153" s="19"/>
      <c r="E153" s="16"/>
      <c r="F153" s="16"/>
      <c r="G153" s="7"/>
      <c r="H153" s="7"/>
      <c r="I153" s="52"/>
      <c r="J153" s="7"/>
      <c r="K153" s="7"/>
      <c r="L153" s="7"/>
      <c r="M153" s="7"/>
      <c r="N153" s="53"/>
      <c r="O153" s="54"/>
      <c r="P153" s="7" t="str">
        <f t="shared" si="2"/>
        <v/>
      </c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spans="1:26" x14ac:dyDescent="0.7">
      <c r="A154" s="55"/>
      <c r="B154" s="55"/>
      <c r="C154" s="7"/>
      <c r="D154" s="19"/>
      <c r="E154" s="16"/>
      <c r="F154" s="16"/>
      <c r="G154" s="7"/>
      <c r="H154" s="7"/>
      <c r="I154" s="52"/>
      <c r="J154" s="7"/>
      <c r="K154" s="7"/>
      <c r="L154" s="7"/>
      <c r="M154" s="7"/>
      <c r="N154" s="53"/>
      <c r="O154" s="54"/>
      <c r="P154" s="7" t="str">
        <f t="shared" si="2"/>
        <v/>
      </c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spans="1:26" x14ac:dyDescent="0.7">
      <c r="A155" s="55"/>
      <c r="B155" s="55"/>
      <c r="C155" s="7"/>
      <c r="D155" s="19"/>
      <c r="E155" s="16"/>
      <c r="F155" s="16"/>
      <c r="G155" s="7"/>
      <c r="H155" s="7"/>
      <c r="I155" s="52"/>
      <c r="J155" s="7"/>
      <c r="K155" s="7"/>
      <c r="L155" s="7"/>
      <c r="M155" s="7"/>
      <c r="N155" s="53"/>
      <c r="O155" s="54"/>
      <c r="P155" s="7" t="str">
        <f t="shared" si="2"/>
        <v/>
      </c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spans="1:26" x14ac:dyDescent="0.7">
      <c r="A156" s="55"/>
      <c r="B156" s="55"/>
      <c r="C156" s="7"/>
      <c r="D156" s="19"/>
      <c r="E156" s="16"/>
      <c r="F156" s="16"/>
      <c r="G156" s="7"/>
      <c r="H156" s="7"/>
      <c r="I156" s="52"/>
      <c r="J156" s="7"/>
      <c r="K156" s="7"/>
      <c r="L156" s="7"/>
      <c r="M156" s="7"/>
      <c r="N156" s="53"/>
      <c r="O156" s="54"/>
      <c r="P156" s="7" t="str">
        <f t="shared" si="2"/>
        <v/>
      </c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spans="1:26" x14ac:dyDescent="0.7">
      <c r="A157" s="55"/>
      <c r="B157" s="55"/>
      <c r="C157" s="7"/>
      <c r="D157" s="19"/>
      <c r="E157" s="16"/>
      <c r="F157" s="16"/>
      <c r="G157" s="7"/>
      <c r="H157" s="7"/>
      <c r="I157" s="52"/>
      <c r="J157" s="7"/>
      <c r="K157" s="7"/>
      <c r="L157" s="7"/>
      <c r="M157" s="7"/>
      <c r="N157" s="53"/>
      <c r="O157" s="54"/>
      <c r="P157" s="7" t="str">
        <f t="shared" si="2"/>
        <v/>
      </c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spans="1:26" x14ac:dyDescent="0.7">
      <c r="A158" s="55"/>
      <c r="B158" s="55"/>
      <c r="C158" s="7"/>
      <c r="D158" s="19"/>
      <c r="E158" s="16"/>
      <c r="F158" s="16"/>
      <c r="G158" s="7"/>
      <c r="H158" s="7"/>
      <c r="I158" s="52"/>
      <c r="J158" s="7"/>
      <c r="K158" s="7"/>
      <c r="L158" s="7"/>
      <c r="M158" s="7"/>
      <c r="N158" s="53"/>
      <c r="O158" s="54"/>
      <c r="P158" s="7" t="str">
        <f t="shared" si="2"/>
        <v/>
      </c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spans="1:26" x14ac:dyDescent="0.7">
      <c r="A159" s="55"/>
      <c r="B159" s="55"/>
      <c r="C159" s="7"/>
      <c r="D159" s="19"/>
      <c r="E159" s="16"/>
      <c r="F159" s="16"/>
      <c r="G159" s="7"/>
      <c r="H159" s="7"/>
      <c r="I159" s="52"/>
      <c r="J159" s="7"/>
      <c r="K159" s="7"/>
      <c r="L159" s="7"/>
      <c r="M159" s="7"/>
      <c r="N159" s="53"/>
      <c r="O159" s="54"/>
      <c r="P159" s="7" t="str">
        <f t="shared" si="2"/>
        <v/>
      </c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spans="1:26" x14ac:dyDescent="0.7">
      <c r="A160" s="55"/>
      <c r="B160" s="55"/>
      <c r="C160" s="7"/>
      <c r="D160" s="19"/>
      <c r="E160" s="16"/>
      <c r="F160" s="16"/>
      <c r="G160" s="7"/>
      <c r="H160" s="7"/>
      <c r="I160" s="52"/>
      <c r="J160" s="7"/>
      <c r="K160" s="7"/>
      <c r="L160" s="7"/>
      <c r="M160" s="7"/>
      <c r="N160" s="53"/>
      <c r="O160" s="54"/>
      <c r="P160" s="7" t="str">
        <f t="shared" si="2"/>
        <v/>
      </c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spans="1:26" x14ac:dyDescent="0.7">
      <c r="A161" s="55"/>
      <c r="B161" s="55"/>
      <c r="C161" s="7"/>
      <c r="D161" s="19"/>
      <c r="E161" s="16"/>
      <c r="F161" s="16"/>
      <c r="G161" s="7"/>
      <c r="H161" s="7"/>
      <c r="I161" s="52"/>
      <c r="J161" s="7"/>
      <c r="K161" s="7"/>
      <c r="L161" s="7"/>
      <c r="M161" s="7"/>
      <c r="N161" s="53"/>
      <c r="O161" s="54"/>
      <c r="P161" s="7" t="str">
        <f t="shared" si="2"/>
        <v/>
      </c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spans="1:26" x14ac:dyDescent="0.7">
      <c r="A162" s="55"/>
      <c r="B162" s="55"/>
      <c r="C162" s="7"/>
      <c r="D162" s="19"/>
      <c r="E162" s="16"/>
      <c r="F162" s="16"/>
      <c r="G162" s="7"/>
      <c r="H162" s="7"/>
      <c r="I162" s="52"/>
      <c r="J162" s="7"/>
      <c r="K162" s="7"/>
      <c r="L162" s="7"/>
      <c r="M162" s="7"/>
      <c r="N162" s="53"/>
      <c r="O162" s="54"/>
      <c r="P162" s="7" t="str">
        <f t="shared" si="2"/>
        <v/>
      </c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spans="1:26" x14ac:dyDescent="0.7">
      <c r="A163" s="55"/>
      <c r="B163" s="55"/>
      <c r="C163" s="7"/>
      <c r="D163" s="19"/>
      <c r="E163" s="16"/>
      <c r="F163" s="16"/>
      <c r="G163" s="7"/>
      <c r="H163" s="7"/>
      <c r="I163" s="52"/>
      <c r="J163" s="7"/>
      <c r="K163" s="7"/>
      <c r="L163" s="7"/>
      <c r="M163" s="7"/>
      <c r="N163" s="53"/>
      <c r="O163" s="54"/>
      <c r="P163" s="7" t="str">
        <f t="shared" si="2"/>
        <v/>
      </c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spans="1:26" x14ac:dyDescent="0.7">
      <c r="A164" s="55"/>
      <c r="B164" s="55"/>
      <c r="C164" s="7"/>
      <c r="D164" s="19"/>
      <c r="E164" s="16"/>
      <c r="F164" s="16"/>
      <c r="G164" s="7"/>
      <c r="H164" s="7"/>
      <c r="I164" s="52"/>
      <c r="J164" s="7"/>
      <c r="K164" s="7"/>
      <c r="L164" s="7"/>
      <c r="M164" s="7"/>
      <c r="N164" s="53"/>
      <c r="O164" s="54"/>
      <c r="P164" s="7" t="str">
        <f t="shared" si="2"/>
        <v/>
      </c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spans="1:26" x14ac:dyDescent="0.7">
      <c r="A165" s="55"/>
      <c r="B165" s="55"/>
      <c r="C165" s="7"/>
      <c r="D165" s="19"/>
      <c r="E165" s="16"/>
      <c r="F165" s="16"/>
      <c r="G165" s="7"/>
      <c r="H165" s="7"/>
      <c r="I165" s="52"/>
      <c r="J165" s="7"/>
      <c r="K165" s="7"/>
      <c r="L165" s="7"/>
      <c r="M165" s="7"/>
      <c r="N165" s="53"/>
      <c r="O165" s="54"/>
      <c r="P165" s="7" t="str">
        <f t="shared" si="2"/>
        <v/>
      </c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spans="1:26" x14ac:dyDescent="0.7">
      <c r="A166" s="55"/>
      <c r="B166" s="55"/>
      <c r="C166" s="7"/>
      <c r="D166" s="19"/>
      <c r="E166" s="16"/>
      <c r="F166" s="16"/>
      <c r="G166" s="7"/>
      <c r="H166" s="7"/>
      <c r="I166" s="52"/>
      <c r="J166" s="7"/>
      <c r="K166" s="7"/>
      <c r="L166" s="7"/>
      <c r="M166" s="7"/>
      <c r="N166" s="53"/>
      <c r="O166" s="54"/>
      <c r="P166" s="7" t="str">
        <f t="shared" si="2"/>
        <v/>
      </c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spans="1:26" x14ac:dyDescent="0.7">
      <c r="A167" s="55"/>
      <c r="B167" s="55"/>
      <c r="C167" s="7"/>
      <c r="D167" s="19"/>
      <c r="E167" s="16"/>
      <c r="F167" s="16"/>
      <c r="G167" s="7"/>
      <c r="H167" s="7"/>
      <c r="I167" s="52"/>
      <c r="J167" s="7"/>
      <c r="K167" s="7"/>
      <c r="L167" s="7"/>
      <c r="M167" s="7"/>
      <c r="N167" s="53"/>
      <c r="O167" s="54"/>
      <c r="P167" s="7" t="str">
        <f t="shared" si="2"/>
        <v/>
      </c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spans="1:26" x14ac:dyDescent="0.7">
      <c r="A168" s="55"/>
      <c r="B168" s="55"/>
      <c r="C168" s="7"/>
      <c r="D168" s="19"/>
      <c r="E168" s="16"/>
      <c r="F168" s="16"/>
      <c r="G168" s="7"/>
      <c r="H168" s="7"/>
      <c r="I168" s="52"/>
      <c r="J168" s="7"/>
      <c r="K168" s="7"/>
      <c r="L168" s="7"/>
      <c r="M168" s="7"/>
      <c r="N168" s="53"/>
      <c r="O168" s="54"/>
      <c r="P168" s="7" t="str">
        <f t="shared" si="2"/>
        <v/>
      </c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spans="1:26" x14ac:dyDescent="0.7">
      <c r="A169" s="55"/>
      <c r="B169" s="55"/>
      <c r="C169" s="7"/>
      <c r="D169" s="19"/>
      <c r="E169" s="16"/>
      <c r="F169" s="16"/>
      <c r="G169" s="7"/>
      <c r="H169" s="7"/>
      <c r="I169" s="52"/>
      <c r="J169" s="7"/>
      <c r="K169" s="7"/>
      <c r="L169" s="7"/>
      <c r="M169" s="7"/>
      <c r="N169" s="53"/>
      <c r="O169" s="54"/>
      <c r="P169" s="7" t="str">
        <f t="shared" si="2"/>
        <v/>
      </c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spans="1:26" x14ac:dyDescent="0.7">
      <c r="A170" s="55"/>
      <c r="B170" s="55"/>
      <c r="C170" s="7"/>
      <c r="D170" s="19"/>
      <c r="E170" s="16"/>
      <c r="F170" s="16"/>
      <c r="G170" s="7"/>
      <c r="H170" s="7"/>
      <c r="I170" s="52"/>
      <c r="J170" s="7"/>
      <c r="K170" s="7"/>
      <c r="L170" s="7"/>
      <c r="M170" s="7"/>
      <c r="N170" s="53"/>
      <c r="O170" s="54"/>
      <c r="P170" s="7" t="str">
        <f t="shared" si="2"/>
        <v/>
      </c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spans="1:26" x14ac:dyDescent="0.7">
      <c r="A171" s="55"/>
      <c r="B171" s="55"/>
      <c r="C171" s="7"/>
      <c r="D171" s="19"/>
      <c r="E171" s="16"/>
      <c r="F171" s="16"/>
      <c r="G171" s="7"/>
      <c r="H171" s="7"/>
      <c r="I171" s="52"/>
      <c r="J171" s="7"/>
      <c r="K171" s="7"/>
      <c r="L171" s="7"/>
      <c r="M171" s="7"/>
      <c r="N171" s="53"/>
      <c r="O171" s="54"/>
      <c r="P171" s="7" t="str">
        <f t="shared" si="2"/>
        <v/>
      </c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spans="1:26" x14ac:dyDescent="0.7">
      <c r="A172" s="55"/>
      <c r="B172" s="55"/>
      <c r="C172" s="7"/>
      <c r="D172" s="19"/>
      <c r="E172" s="16"/>
      <c r="F172" s="16"/>
      <c r="G172" s="7"/>
      <c r="H172" s="7"/>
      <c r="I172" s="52"/>
      <c r="J172" s="7"/>
      <c r="K172" s="7"/>
      <c r="L172" s="7"/>
      <c r="M172" s="7"/>
      <c r="N172" s="53"/>
      <c r="O172" s="54"/>
      <c r="P172" s="7" t="str">
        <f t="shared" si="2"/>
        <v/>
      </c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spans="1:26" x14ac:dyDescent="0.7">
      <c r="A173" s="55"/>
      <c r="B173" s="55"/>
      <c r="C173" s="7"/>
      <c r="D173" s="19"/>
      <c r="E173" s="16"/>
      <c r="F173" s="16"/>
      <c r="G173" s="7"/>
      <c r="H173" s="7"/>
      <c r="I173" s="52"/>
      <c r="J173" s="7"/>
      <c r="K173" s="7"/>
      <c r="L173" s="7"/>
      <c r="M173" s="7"/>
      <c r="N173" s="53"/>
      <c r="O173" s="54"/>
      <c r="P173" s="7" t="str">
        <f t="shared" si="2"/>
        <v/>
      </c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spans="1:26" x14ac:dyDescent="0.7">
      <c r="A174" s="55"/>
      <c r="B174" s="55"/>
      <c r="C174" s="7"/>
      <c r="D174" s="19"/>
      <c r="E174" s="16"/>
      <c r="F174" s="16"/>
      <c r="G174" s="7"/>
      <c r="H174" s="7"/>
      <c r="I174" s="52"/>
      <c r="J174" s="7"/>
      <c r="K174" s="7"/>
      <c r="L174" s="7"/>
      <c r="M174" s="7"/>
      <c r="N174" s="53"/>
      <c r="O174" s="54"/>
      <c r="P174" s="7" t="str">
        <f t="shared" si="2"/>
        <v/>
      </c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spans="1:26" x14ac:dyDescent="0.7">
      <c r="A175" s="55"/>
      <c r="B175" s="55"/>
      <c r="C175" s="7"/>
      <c r="D175" s="19"/>
      <c r="E175" s="16"/>
      <c r="F175" s="16"/>
      <c r="G175" s="7"/>
      <c r="H175" s="7"/>
      <c r="I175" s="52"/>
      <c r="J175" s="7"/>
      <c r="K175" s="7"/>
      <c r="L175" s="7"/>
      <c r="M175" s="7"/>
      <c r="N175" s="53"/>
      <c r="O175" s="54"/>
      <c r="P175" s="7" t="str">
        <f t="shared" si="2"/>
        <v/>
      </c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spans="1:26" x14ac:dyDescent="0.7">
      <c r="A176" s="55"/>
      <c r="B176" s="55"/>
      <c r="C176" s="7"/>
      <c r="D176" s="19"/>
      <c r="E176" s="16"/>
      <c r="F176" s="16"/>
      <c r="G176" s="7"/>
      <c r="H176" s="7"/>
      <c r="I176" s="52"/>
      <c r="J176" s="7"/>
      <c r="K176" s="7"/>
      <c r="L176" s="7"/>
      <c r="M176" s="7"/>
      <c r="N176" s="53"/>
      <c r="O176" s="54"/>
      <c r="P176" s="7" t="str">
        <f t="shared" si="2"/>
        <v/>
      </c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spans="1:26" x14ac:dyDescent="0.7">
      <c r="A177" s="55"/>
      <c r="B177" s="55"/>
      <c r="C177" s="7"/>
      <c r="D177" s="19"/>
      <c r="E177" s="16"/>
      <c r="F177" s="16"/>
      <c r="G177" s="7"/>
      <c r="H177" s="7"/>
      <c r="I177" s="52"/>
      <c r="J177" s="7"/>
      <c r="K177" s="7"/>
      <c r="L177" s="7"/>
      <c r="M177" s="7"/>
      <c r="N177" s="53"/>
      <c r="O177" s="54"/>
      <c r="P177" s="7" t="str">
        <f t="shared" si="2"/>
        <v/>
      </c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spans="1:26" x14ac:dyDescent="0.7">
      <c r="A178" s="55"/>
      <c r="B178" s="55"/>
      <c r="C178" s="7"/>
      <c r="D178" s="19"/>
      <c r="E178" s="16"/>
      <c r="F178" s="16"/>
      <c r="G178" s="7"/>
      <c r="H178" s="7"/>
      <c r="I178" s="52"/>
      <c r="J178" s="7"/>
      <c r="K178" s="7"/>
      <c r="L178" s="7"/>
      <c r="M178" s="7"/>
      <c r="N178" s="53"/>
      <c r="O178" s="54"/>
      <c r="P178" s="7" t="str">
        <f t="shared" si="2"/>
        <v/>
      </c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spans="1:26" x14ac:dyDescent="0.7">
      <c r="A179" s="55"/>
      <c r="B179" s="55"/>
      <c r="C179" s="7"/>
      <c r="D179" s="19"/>
      <c r="E179" s="16"/>
      <c r="F179" s="16"/>
      <c r="G179" s="7"/>
      <c r="H179" s="7"/>
      <c r="I179" s="52"/>
      <c r="J179" s="7"/>
      <c r="K179" s="7"/>
      <c r="L179" s="7"/>
      <c r="M179" s="7"/>
      <c r="N179" s="53"/>
      <c r="O179" s="54"/>
      <c r="P179" s="7" t="str">
        <f t="shared" si="2"/>
        <v/>
      </c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spans="1:26" x14ac:dyDescent="0.7">
      <c r="A180" s="55"/>
      <c r="B180" s="55"/>
      <c r="C180" s="7"/>
      <c r="D180" s="19"/>
      <c r="E180" s="16"/>
      <c r="F180" s="16"/>
      <c r="G180" s="7"/>
      <c r="H180" s="7"/>
      <c r="I180" s="52"/>
      <c r="J180" s="7"/>
      <c r="K180" s="7"/>
      <c r="L180" s="7"/>
      <c r="M180" s="7"/>
      <c r="N180" s="53"/>
      <c r="O180" s="54"/>
      <c r="P180" s="7" t="str">
        <f t="shared" si="2"/>
        <v/>
      </c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spans="1:26" x14ac:dyDescent="0.7">
      <c r="A181" s="55"/>
      <c r="B181" s="55"/>
      <c r="C181" s="7"/>
      <c r="D181" s="19"/>
      <c r="E181" s="16"/>
      <c r="F181" s="16"/>
      <c r="G181" s="7"/>
      <c r="H181" s="7"/>
      <c r="I181" s="52"/>
      <c r="J181" s="7"/>
      <c r="K181" s="7"/>
      <c r="L181" s="7"/>
      <c r="M181" s="7"/>
      <c r="N181" s="53"/>
      <c r="O181" s="54"/>
      <c r="P181" s="7" t="str">
        <f t="shared" si="2"/>
        <v/>
      </c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spans="1:26" x14ac:dyDescent="0.7">
      <c r="A182" s="55"/>
      <c r="B182" s="55"/>
      <c r="C182" s="7"/>
      <c r="D182" s="19"/>
      <c r="E182" s="16"/>
      <c r="F182" s="16"/>
      <c r="G182" s="7"/>
      <c r="H182" s="7"/>
      <c r="I182" s="52"/>
      <c r="J182" s="7"/>
      <c r="K182" s="7"/>
      <c r="L182" s="7"/>
      <c r="M182" s="7"/>
      <c r="N182" s="53"/>
      <c r="O182" s="54"/>
      <c r="P182" s="7" t="str">
        <f t="shared" si="2"/>
        <v/>
      </c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spans="1:26" x14ac:dyDescent="0.7">
      <c r="A183" s="55"/>
      <c r="B183" s="55"/>
      <c r="C183" s="7"/>
      <c r="D183" s="19"/>
      <c r="E183" s="16"/>
      <c r="F183" s="16"/>
      <c r="G183" s="7"/>
      <c r="H183" s="7"/>
      <c r="I183" s="52"/>
      <c r="J183" s="7"/>
      <c r="K183" s="7"/>
      <c r="L183" s="7"/>
      <c r="M183" s="7"/>
      <c r="N183" s="53"/>
      <c r="O183" s="54"/>
      <c r="P183" s="7" t="str">
        <f t="shared" si="2"/>
        <v/>
      </c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spans="1:26" x14ac:dyDescent="0.7">
      <c r="A184" s="55"/>
      <c r="B184" s="55"/>
      <c r="C184" s="7"/>
      <c r="D184" s="19"/>
      <c r="E184" s="16"/>
      <c r="F184" s="16"/>
      <c r="G184" s="7"/>
      <c r="H184" s="7"/>
      <c r="I184" s="52"/>
      <c r="J184" s="7"/>
      <c r="K184" s="7"/>
      <c r="L184" s="7"/>
      <c r="M184" s="7"/>
      <c r="N184" s="53"/>
      <c r="O184" s="54"/>
      <c r="P184" s="7" t="str">
        <f t="shared" si="2"/>
        <v/>
      </c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spans="1:26" x14ac:dyDescent="0.7">
      <c r="A185" s="55"/>
      <c r="B185" s="55"/>
      <c r="C185" s="7"/>
      <c r="D185" s="19"/>
      <c r="E185" s="16"/>
      <c r="F185" s="16"/>
      <c r="G185" s="7"/>
      <c r="H185" s="7"/>
      <c r="I185" s="52"/>
      <c r="J185" s="7"/>
      <c r="K185" s="7"/>
      <c r="L185" s="7"/>
      <c r="M185" s="7"/>
      <c r="N185" s="53"/>
      <c r="O185" s="54"/>
      <c r="P185" s="7" t="str">
        <f t="shared" si="2"/>
        <v/>
      </c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spans="1:26" x14ac:dyDescent="0.7">
      <c r="A186" s="55"/>
      <c r="B186" s="55"/>
      <c r="C186" s="7"/>
      <c r="D186" s="19"/>
      <c r="E186" s="16"/>
      <c r="F186" s="16"/>
      <c r="G186" s="7"/>
      <c r="H186" s="7"/>
      <c r="I186" s="52"/>
      <c r="J186" s="7"/>
      <c r="K186" s="7"/>
      <c r="L186" s="7"/>
      <c r="M186" s="7"/>
      <c r="N186" s="53"/>
      <c r="O186" s="54"/>
      <c r="P186" s="7" t="str">
        <f t="shared" si="2"/>
        <v/>
      </c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spans="1:26" x14ac:dyDescent="0.7">
      <c r="A187" s="55"/>
      <c r="B187" s="55"/>
      <c r="C187" s="7"/>
      <c r="D187" s="19"/>
      <c r="E187" s="16"/>
      <c r="F187" s="16"/>
      <c r="G187" s="7"/>
      <c r="H187" s="7"/>
      <c r="I187" s="52"/>
      <c r="J187" s="7"/>
      <c r="K187" s="7"/>
      <c r="L187" s="7"/>
      <c r="M187" s="7"/>
      <c r="N187" s="53"/>
      <c r="O187" s="54"/>
      <c r="P187" s="7" t="str">
        <f t="shared" si="2"/>
        <v/>
      </c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spans="1:26" x14ac:dyDescent="0.7">
      <c r="A188" s="55"/>
      <c r="B188" s="55"/>
      <c r="C188" s="7"/>
      <c r="D188" s="19"/>
      <c r="E188" s="16"/>
      <c r="F188" s="16"/>
      <c r="G188" s="7"/>
      <c r="H188" s="7"/>
      <c r="I188" s="52"/>
      <c r="J188" s="7"/>
      <c r="K188" s="7"/>
      <c r="L188" s="7"/>
      <c r="M188" s="7"/>
      <c r="N188" s="53"/>
      <c r="O188" s="54"/>
      <c r="P188" s="7" t="str">
        <f t="shared" si="2"/>
        <v/>
      </c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spans="1:26" x14ac:dyDescent="0.7">
      <c r="A189" s="55"/>
      <c r="B189" s="55"/>
      <c r="C189" s="7"/>
      <c r="D189" s="19"/>
      <c r="E189" s="16"/>
      <c r="F189" s="16"/>
      <c r="G189" s="7"/>
      <c r="H189" s="7"/>
      <c r="I189" s="52"/>
      <c r="J189" s="7"/>
      <c r="K189" s="7"/>
      <c r="L189" s="7"/>
      <c r="M189" s="7"/>
      <c r="N189" s="53"/>
      <c r="O189" s="54"/>
      <c r="P189" s="7" t="str">
        <f t="shared" si="2"/>
        <v/>
      </c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spans="1:26" x14ac:dyDescent="0.7">
      <c r="A190" s="55"/>
      <c r="B190" s="55"/>
      <c r="C190" s="7"/>
      <c r="D190" s="19"/>
      <c r="E190" s="16"/>
      <c r="F190" s="16"/>
      <c r="G190" s="7"/>
      <c r="H190" s="7"/>
      <c r="I190" s="52"/>
      <c r="J190" s="7"/>
      <c r="K190" s="7"/>
      <c r="L190" s="7"/>
      <c r="M190" s="7"/>
      <c r="N190" s="53"/>
      <c r="O190" s="54"/>
      <c r="P190" s="7" t="str">
        <f t="shared" si="2"/>
        <v/>
      </c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spans="1:26" x14ac:dyDescent="0.7">
      <c r="A191" s="55"/>
      <c r="B191" s="55"/>
      <c r="C191" s="7"/>
      <c r="D191" s="19"/>
      <c r="E191" s="16"/>
      <c r="F191" s="16"/>
      <c r="G191" s="7"/>
      <c r="H191" s="7"/>
      <c r="I191" s="52"/>
      <c r="J191" s="7"/>
      <c r="K191" s="7"/>
      <c r="L191" s="7"/>
      <c r="M191" s="7"/>
      <c r="N191" s="53"/>
      <c r="O191" s="54"/>
      <c r="P191" s="7" t="str">
        <f t="shared" si="2"/>
        <v/>
      </c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spans="1:26" x14ac:dyDescent="0.7">
      <c r="A192" s="55"/>
      <c r="B192" s="55"/>
      <c r="C192" s="7"/>
      <c r="D192" s="19"/>
      <c r="E192" s="16"/>
      <c r="F192" s="16"/>
      <c r="G192" s="7"/>
      <c r="H192" s="7"/>
      <c r="I192" s="52"/>
      <c r="J192" s="7"/>
      <c r="K192" s="7"/>
      <c r="L192" s="7"/>
      <c r="M192" s="7"/>
      <c r="N192" s="53"/>
      <c r="O192" s="54"/>
      <c r="P192" s="7" t="str">
        <f t="shared" si="2"/>
        <v/>
      </c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spans="1:26" x14ac:dyDescent="0.7">
      <c r="A193" s="55"/>
      <c r="B193" s="55"/>
      <c r="C193" s="7"/>
      <c r="D193" s="19"/>
      <c r="E193" s="16"/>
      <c r="F193" s="16"/>
      <c r="G193" s="7"/>
      <c r="H193" s="7"/>
      <c r="I193" s="52"/>
      <c r="J193" s="7"/>
      <c r="K193" s="7"/>
      <c r="L193" s="7"/>
      <c r="M193" s="7"/>
      <c r="N193" s="53"/>
      <c r="O193" s="54"/>
      <c r="P193" s="7" t="str">
        <f t="shared" si="2"/>
        <v/>
      </c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spans="1:26" x14ac:dyDescent="0.7">
      <c r="A194" s="55"/>
      <c r="B194" s="55"/>
      <c r="C194" s="7"/>
      <c r="D194" s="19"/>
      <c r="E194" s="16"/>
      <c r="F194" s="16"/>
      <c r="G194" s="7"/>
      <c r="H194" s="7"/>
      <c r="I194" s="52"/>
      <c r="J194" s="7"/>
      <c r="K194" s="7"/>
      <c r="L194" s="7"/>
      <c r="M194" s="7"/>
      <c r="N194" s="53"/>
      <c r="O194" s="54"/>
      <c r="P194" s="7" t="str">
        <f t="shared" si="2"/>
        <v/>
      </c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spans="1:26" x14ac:dyDescent="0.7">
      <c r="A195" s="55"/>
      <c r="B195" s="55"/>
      <c r="C195" s="7"/>
      <c r="D195" s="19"/>
      <c r="E195" s="16"/>
      <c r="F195" s="16"/>
      <c r="G195" s="7"/>
      <c r="H195" s="7"/>
      <c r="I195" s="52"/>
      <c r="J195" s="7"/>
      <c r="K195" s="7"/>
      <c r="L195" s="7"/>
      <c r="M195" s="7"/>
      <c r="N195" s="53"/>
      <c r="O195" s="54"/>
      <c r="P195" s="7" t="str">
        <f t="shared" si="2"/>
        <v/>
      </c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spans="1:26" x14ac:dyDescent="0.7">
      <c r="A196" s="55"/>
      <c r="B196" s="55"/>
      <c r="C196" s="7"/>
      <c r="D196" s="19"/>
      <c r="E196" s="16"/>
      <c r="F196" s="16"/>
      <c r="G196" s="7"/>
      <c r="H196" s="7"/>
      <c r="I196" s="52"/>
      <c r="J196" s="7"/>
      <c r="K196" s="7"/>
      <c r="L196" s="7"/>
      <c r="M196" s="7"/>
      <c r="N196" s="53"/>
      <c r="O196" s="54"/>
      <c r="P196" s="7" t="str">
        <f t="shared" si="2"/>
        <v/>
      </c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spans="1:26" x14ac:dyDescent="0.7">
      <c r="A197" s="55"/>
      <c r="B197" s="55"/>
      <c r="C197" s="7"/>
      <c r="D197" s="19"/>
      <c r="E197" s="16"/>
      <c r="F197" s="16"/>
      <c r="G197" s="7"/>
      <c r="H197" s="7"/>
      <c r="I197" s="52"/>
      <c r="J197" s="7"/>
      <c r="K197" s="7"/>
      <c r="L197" s="7"/>
      <c r="M197" s="7"/>
      <c r="N197" s="53"/>
      <c r="O197" s="54"/>
      <c r="P197" s="7" t="str">
        <f t="shared" si="2"/>
        <v/>
      </c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spans="1:26" x14ac:dyDescent="0.7">
      <c r="A198" s="55"/>
      <c r="B198" s="55"/>
      <c r="C198" s="7"/>
      <c r="D198" s="7"/>
      <c r="E198" s="7"/>
      <c r="F198" s="7"/>
      <c r="G198" s="7"/>
      <c r="H198" s="7"/>
      <c r="I198" s="52"/>
      <c r="J198" s="7"/>
      <c r="K198" s="7"/>
      <c r="L198" s="7"/>
      <c r="M198" s="7"/>
      <c r="N198" s="7"/>
      <c r="O198" s="54"/>
      <c r="P198" s="7" t="str">
        <f t="shared" si="2"/>
        <v/>
      </c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spans="1:26" x14ac:dyDescent="0.7">
      <c r="A199" s="55"/>
      <c r="B199" s="55"/>
      <c r="C199" s="7"/>
      <c r="D199" s="7"/>
      <c r="E199" s="7"/>
      <c r="F199" s="7"/>
      <c r="G199" s="7"/>
      <c r="H199" s="7"/>
      <c r="I199" s="52"/>
      <c r="J199" s="7"/>
      <c r="K199" s="7"/>
      <c r="L199" s="7"/>
      <c r="M199" s="7"/>
      <c r="N199" s="7"/>
      <c r="O199" s="54"/>
      <c r="P199" s="7" t="str">
        <f t="shared" ref="P199:P262" si="3">IF(I199="","",SUMIFS(OrderItems_Qty,OrderItems_Type,"PURCHASE",OrderItems_SKU,I199)-SUMIFS(OrderItems_Qty,OrderItems_Type,"SALE",OrderItems_SKU,I199))</f>
        <v/>
      </c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spans="1:26" x14ac:dyDescent="0.7">
      <c r="A200" s="55"/>
      <c r="B200" s="55"/>
      <c r="C200" s="7"/>
      <c r="D200" s="7"/>
      <c r="E200" s="7"/>
      <c r="F200" s="7"/>
      <c r="G200" s="7"/>
      <c r="H200" s="7"/>
      <c r="I200" s="52"/>
      <c r="J200" s="7"/>
      <c r="K200" s="7"/>
      <c r="L200" s="7"/>
      <c r="M200" s="7"/>
      <c r="N200" s="7"/>
      <c r="O200" s="54"/>
      <c r="P200" s="7" t="str">
        <f t="shared" si="3"/>
        <v/>
      </c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spans="1:26" x14ac:dyDescent="0.7">
      <c r="A201" s="55"/>
      <c r="B201" s="55"/>
      <c r="C201" s="7"/>
      <c r="D201" s="7"/>
      <c r="E201" s="7"/>
      <c r="F201" s="7"/>
      <c r="G201" s="7"/>
      <c r="H201" s="7"/>
      <c r="I201" s="52"/>
      <c r="J201" s="7"/>
      <c r="K201" s="7"/>
      <c r="L201" s="7"/>
      <c r="M201" s="7"/>
      <c r="N201" s="7"/>
      <c r="O201" s="54"/>
      <c r="P201" s="7" t="str">
        <f t="shared" si="3"/>
        <v/>
      </c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spans="1:26" x14ac:dyDescent="0.7">
      <c r="A202" s="55"/>
      <c r="B202" s="55"/>
      <c r="C202" s="7"/>
      <c r="D202" s="7"/>
      <c r="E202" s="7"/>
      <c r="F202" s="7"/>
      <c r="G202" s="7"/>
      <c r="H202" s="7"/>
      <c r="I202" s="52"/>
      <c r="J202" s="7"/>
      <c r="K202" s="7"/>
      <c r="L202" s="7"/>
      <c r="M202" s="7"/>
      <c r="N202" s="7"/>
      <c r="O202" s="54"/>
      <c r="P202" s="7" t="str">
        <f t="shared" si="3"/>
        <v/>
      </c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spans="1:26" x14ac:dyDescent="0.7">
      <c r="A203" s="55"/>
      <c r="B203" s="55"/>
      <c r="C203" s="7"/>
      <c r="D203" s="7"/>
      <c r="E203" s="7"/>
      <c r="F203" s="7"/>
      <c r="G203" s="7"/>
      <c r="H203" s="7"/>
      <c r="I203" s="52"/>
      <c r="J203" s="7"/>
      <c r="K203" s="7"/>
      <c r="L203" s="7"/>
      <c r="M203" s="7"/>
      <c r="N203" s="7"/>
      <c r="O203" s="54"/>
      <c r="P203" s="7" t="str">
        <f t="shared" si="3"/>
        <v/>
      </c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spans="1:26" x14ac:dyDescent="0.7">
      <c r="A204" s="55"/>
      <c r="B204" s="55"/>
      <c r="C204" s="7"/>
      <c r="D204" s="7"/>
      <c r="E204" s="7"/>
      <c r="F204" s="7"/>
      <c r="G204" s="7"/>
      <c r="H204" s="7"/>
      <c r="I204" s="52"/>
      <c r="J204" s="7"/>
      <c r="K204" s="7"/>
      <c r="L204" s="7"/>
      <c r="M204" s="7"/>
      <c r="N204" s="7"/>
      <c r="O204" s="54"/>
      <c r="P204" s="7" t="str">
        <f t="shared" si="3"/>
        <v/>
      </c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spans="1:26" x14ac:dyDescent="0.7">
      <c r="A205" s="55"/>
      <c r="B205" s="55"/>
      <c r="C205" s="7"/>
      <c r="D205" s="7"/>
      <c r="E205" s="7"/>
      <c r="F205" s="7"/>
      <c r="G205" s="7"/>
      <c r="H205" s="7"/>
      <c r="I205" s="52"/>
      <c r="J205" s="7"/>
      <c r="K205" s="7"/>
      <c r="L205" s="7"/>
      <c r="M205" s="7"/>
      <c r="N205" s="7"/>
      <c r="O205" s="54"/>
      <c r="P205" s="7" t="str">
        <f t="shared" si="3"/>
        <v/>
      </c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spans="1:26" x14ac:dyDescent="0.7">
      <c r="A206" s="55"/>
      <c r="B206" s="55"/>
      <c r="C206" s="7"/>
      <c r="D206" s="7"/>
      <c r="E206" s="7"/>
      <c r="F206" s="7"/>
      <c r="G206" s="7"/>
      <c r="H206" s="7"/>
      <c r="I206" s="52"/>
      <c r="J206" s="7"/>
      <c r="K206" s="7"/>
      <c r="L206" s="7"/>
      <c r="M206" s="7"/>
      <c r="N206" s="7"/>
      <c r="O206" s="54"/>
      <c r="P206" s="7" t="str">
        <f t="shared" si="3"/>
        <v/>
      </c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spans="1:26" x14ac:dyDescent="0.7">
      <c r="A207" s="55"/>
      <c r="B207" s="55"/>
      <c r="C207" s="7"/>
      <c r="D207" s="7"/>
      <c r="E207" s="7"/>
      <c r="F207" s="7"/>
      <c r="G207" s="7"/>
      <c r="H207" s="7"/>
      <c r="I207" s="52"/>
      <c r="J207" s="7"/>
      <c r="K207" s="7"/>
      <c r="L207" s="7"/>
      <c r="M207" s="7"/>
      <c r="N207" s="7"/>
      <c r="O207" s="54"/>
      <c r="P207" s="7" t="str">
        <f t="shared" si="3"/>
        <v/>
      </c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spans="1:26" x14ac:dyDescent="0.7">
      <c r="A208" s="55"/>
      <c r="B208" s="55"/>
      <c r="C208" s="7"/>
      <c r="D208" s="7"/>
      <c r="E208" s="7"/>
      <c r="F208" s="7"/>
      <c r="G208" s="7"/>
      <c r="H208" s="7"/>
      <c r="I208" s="52"/>
      <c r="J208" s="7"/>
      <c r="K208" s="7"/>
      <c r="L208" s="7"/>
      <c r="M208" s="7"/>
      <c r="N208" s="7"/>
      <c r="O208" s="54"/>
      <c r="P208" s="7" t="str">
        <f t="shared" si="3"/>
        <v/>
      </c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spans="1:26" x14ac:dyDescent="0.7">
      <c r="A209" s="55"/>
      <c r="B209" s="55"/>
      <c r="C209" s="7"/>
      <c r="D209" s="7"/>
      <c r="E209" s="7"/>
      <c r="F209" s="7"/>
      <c r="G209" s="7"/>
      <c r="H209" s="7"/>
      <c r="I209" s="52"/>
      <c r="J209" s="7"/>
      <c r="K209" s="7"/>
      <c r="L209" s="7"/>
      <c r="M209" s="7"/>
      <c r="N209" s="7"/>
      <c r="O209" s="54"/>
      <c r="P209" s="7" t="str">
        <f t="shared" si="3"/>
        <v/>
      </c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spans="1:26" x14ac:dyDescent="0.7">
      <c r="A210" s="55"/>
      <c r="B210" s="55"/>
      <c r="C210" s="7"/>
      <c r="D210" s="7"/>
      <c r="E210" s="7"/>
      <c r="F210" s="7"/>
      <c r="G210" s="7"/>
      <c r="H210" s="7"/>
      <c r="I210" s="52"/>
      <c r="J210" s="7"/>
      <c r="K210" s="7"/>
      <c r="L210" s="7"/>
      <c r="M210" s="7"/>
      <c r="N210" s="7"/>
      <c r="O210" s="54"/>
      <c r="P210" s="7" t="str">
        <f t="shared" si="3"/>
        <v/>
      </c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spans="1:26" x14ac:dyDescent="0.7">
      <c r="A211" s="55"/>
      <c r="B211" s="55"/>
      <c r="C211" s="7"/>
      <c r="D211" s="7"/>
      <c r="E211" s="7"/>
      <c r="F211" s="7"/>
      <c r="G211" s="7"/>
      <c r="H211" s="7"/>
      <c r="I211" s="52"/>
      <c r="J211" s="7"/>
      <c r="K211" s="7"/>
      <c r="L211" s="7"/>
      <c r="M211" s="7"/>
      <c r="N211" s="7"/>
      <c r="O211" s="54"/>
      <c r="P211" s="7" t="str">
        <f t="shared" si="3"/>
        <v/>
      </c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spans="1:26" x14ac:dyDescent="0.7">
      <c r="A212" s="55"/>
      <c r="B212" s="55"/>
      <c r="C212" s="7"/>
      <c r="D212" s="7"/>
      <c r="E212" s="7"/>
      <c r="F212" s="7"/>
      <c r="G212" s="7"/>
      <c r="H212" s="7"/>
      <c r="I212" s="52"/>
      <c r="J212" s="7"/>
      <c r="K212" s="7"/>
      <c r="L212" s="7"/>
      <c r="M212" s="7"/>
      <c r="N212" s="7"/>
      <c r="O212" s="54"/>
      <c r="P212" s="7" t="str">
        <f t="shared" si="3"/>
        <v/>
      </c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spans="1:26" x14ac:dyDescent="0.7">
      <c r="A213" s="55"/>
      <c r="B213" s="55"/>
      <c r="C213" s="7"/>
      <c r="D213" s="7"/>
      <c r="E213" s="7"/>
      <c r="F213" s="7"/>
      <c r="G213" s="7"/>
      <c r="H213" s="7"/>
      <c r="I213" s="52"/>
      <c r="J213" s="7"/>
      <c r="K213" s="7"/>
      <c r="L213" s="7"/>
      <c r="M213" s="7"/>
      <c r="N213" s="7"/>
      <c r="O213" s="54"/>
      <c r="P213" s="7" t="str">
        <f t="shared" si="3"/>
        <v/>
      </c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spans="1:26" x14ac:dyDescent="0.7">
      <c r="A214" s="55"/>
      <c r="B214" s="55"/>
      <c r="C214" s="7"/>
      <c r="D214" s="7"/>
      <c r="E214" s="7"/>
      <c r="F214" s="7"/>
      <c r="G214" s="7"/>
      <c r="H214" s="7"/>
      <c r="I214" s="52"/>
      <c r="J214" s="7"/>
      <c r="K214" s="7"/>
      <c r="L214" s="7"/>
      <c r="M214" s="7"/>
      <c r="N214" s="7"/>
      <c r="O214" s="54"/>
      <c r="P214" s="7" t="str">
        <f t="shared" si="3"/>
        <v/>
      </c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spans="1:26" x14ac:dyDescent="0.7">
      <c r="A215" s="55"/>
      <c r="B215" s="55"/>
      <c r="C215" s="7"/>
      <c r="D215" s="7"/>
      <c r="E215" s="7"/>
      <c r="F215" s="7"/>
      <c r="G215" s="7"/>
      <c r="H215" s="7"/>
      <c r="I215" s="52"/>
      <c r="J215" s="7"/>
      <c r="K215" s="7"/>
      <c r="L215" s="7"/>
      <c r="M215" s="7"/>
      <c r="N215" s="7"/>
      <c r="O215" s="54"/>
      <c r="P215" s="7" t="str">
        <f t="shared" si="3"/>
        <v/>
      </c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spans="1:26" x14ac:dyDescent="0.7">
      <c r="A216" s="55"/>
      <c r="B216" s="55"/>
      <c r="C216" s="7"/>
      <c r="D216" s="7"/>
      <c r="E216" s="7"/>
      <c r="F216" s="7"/>
      <c r="G216" s="7"/>
      <c r="H216" s="7"/>
      <c r="I216" s="52"/>
      <c r="J216" s="7"/>
      <c r="K216" s="7"/>
      <c r="L216" s="7"/>
      <c r="M216" s="7"/>
      <c r="N216" s="7"/>
      <c r="O216" s="54"/>
      <c r="P216" s="7" t="str">
        <f t="shared" si="3"/>
        <v/>
      </c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spans="1:26" x14ac:dyDescent="0.7">
      <c r="A217" s="55"/>
      <c r="B217" s="55"/>
      <c r="C217" s="7"/>
      <c r="D217" s="7"/>
      <c r="E217" s="7"/>
      <c r="F217" s="7"/>
      <c r="G217" s="7"/>
      <c r="H217" s="7"/>
      <c r="I217" s="52"/>
      <c r="J217" s="7"/>
      <c r="K217" s="7"/>
      <c r="L217" s="7"/>
      <c r="M217" s="7"/>
      <c r="N217" s="7"/>
      <c r="O217" s="54"/>
      <c r="P217" s="7" t="str">
        <f t="shared" si="3"/>
        <v/>
      </c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spans="1:26" x14ac:dyDescent="0.7">
      <c r="A218" s="55"/>
      <c r="B218" s="55"/>
      <c r="C218" s="7"/>
      <c r="D218" s="7"/>
      <c r="E218" s="7"/>
      <c r="F218" s="7"/>
      <c r="G218" s="7"/>
      <c r="H218" s="7"/>
      <c r="I218" s="52"/>
      <c r="J218" s="7"/>
      <c r="K218" s="7"/>
      <c r="L218" s="7"/>
      <c r="M218" s="7"/>
      <c r="N218" s="7"/>
      <c r="O218" s="54"/>
      <c r="P218" s="7" t="str">
        <f t="shared" si="3"/>
        <v/>
      </c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spans="1:26" x14ac:dyDescent="0.7">
      <c r="A219" s="55"/>
      <c r="B219" s="55"/>
      <c r="C219" s="7"/>
      <c r="D219" s="7"/>
      <c r="E219" s="7"/>
      <c r="F219" s="7"/>
      <c r="G219" s="7"/>
      <c r="H219" s="7"/>
      <c r="I219" s="52"/>
      <c r="J219" s="7"/>
      <c r="K219" s="7"/>
      <c r="L219" s="7"/>
      <c r="M219" s="7"/>
      <c r="N219" s="7"/>
      <c r="O219" s="54"/>
      <c r="P219" s="7" t="str">
        <f t="shared" si="3"/>
        <v/>
      </c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spans="1:26" x14ac:dyDescent="0.7">
      <c r="A220" s="55"/>
      <c r="B220" s="55"/>
      <c r="C220" s="7"/>
      <c r="D220" s="7"/>
      <c r="E220" s="7"/>
      <c r="F220" s="7"/>
      <c r="G220" s="7"/>
      <c r="H220" s="7"/>
      <c r="I220" s="52"/>
      <c r="J220" s="7"/>
      <c r="K220" s="7"/>
      <c r="L220" s="7"/>
      <c r="M220" s="7"/>
      <c r="N220" s="7"/>
      <c r="O220" s="54"/>
      <c r="P220" s="7" t="str">
        <f t="shared" si="3"/>
        <v/>
      </c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spans="1:26" x14ac:dyDescent="0.7">
      <c r="A221" s="55"/>
      <c r="B221" s="55"/>
      <c r="C221" s="7"/>
      <c r="D221" s="7"/>
      <c r="E221" s="7"/>
      <c r="F221" s="7"/>
      <c r="G221" s="7"/>
      <c r="H221" s="7"/>
      <c r="I221" s="52"/>
      <c r="J221" s="7"/>
      <c r="K221" s="7"/>
      <c r="L221" s="7"/>
      <c r="M221" s="7"/>
      <c r="N221" s="7"/>
      <c r="O221" s="54"/>
      <c r="P221" s="7" t="str">
        <f t="shared" si="3"/>
        <v/>
      </c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spans="1:26" x14ac:dyDescent="0.7">
      <c r="A222" s="55"/>
      <c r="B222" s="55"/>
      <c r="C222" s="7"/>
      <c r="D222" s="7"/>
      <c r="E222" s="7"/>
      <c r="F222" s="7"/>
      <c r="G222" s="7"/>
      <c r="H222" s="7"/>
      <c r="I222" s="52"/>
      <c r="J222" s="7"/>
      <c r="K222" s="7"/>
      <c r="L222" s="7"/>
      <c r="M222" s="7"/>
      <c r="N222" s="7"/>
      <c r="O222" s="54"/>
      <c r="P222" s="7" t="str">
        <f t="shared" si="3"/>
        <v/>
      </c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spans="1:26" x14ac:dyDescent="0.7">
      <c r="A223" s="55"/>
      <c r="B223" s="55"/>
      <c r="C223" s="7"/>
      <c r="D223" s="7"/>
      <c r="E223" s="7"/>
      <c r="F223" s="7"/>
      <c r="G223" s="7"/>
      <c r="H223" s="7"/>
      <c r="I223" s="52"/>
      <c r="J223" s="7"/>
      <c r="K223" s="7"/>
      <c r="L223" s="7"/>
      <c r="M223" s="7"/>
      <c r="N223" s="7"/>
      <c r="O223" s="54"/>
      <c r="P223" s="7" t="str">
        <f t="shared" si="3"/>
        <v/>
      </c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spans="1:26" x14ac:dyDescent="0.7">
      <c r="A224" s="55"/>
      <c r="B224" s="55"/>
      <c r="C224" s="7"/>
      <c r="D224" s="7"/>
      <c r="E224" s="7"/>
      <c r="F224" s="7"/>
      <c r="G224" s="7"/>
      <c r="H224" s="7"/>
      <c r="I224" s="52"/>
      <c r="J224" s="7"/>
      <c r="K224" s="7"/>
      <c r="L224" s="7"/>
      <c r="M224" s="7"/>
      <c r="N224" s="7"/>
      <c r="O224" s="54"/>
      <c r="P224" s="7" t="str">
        <f t="shared" si="3"/>
        <v/>
      </c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spans="1:26" x14ac:dyDescent="0.7">
      <c r="A225" s="55"/>
      <c r="B225" s="55"/>
      <c r="C225" s="7"/>
      <c r="D225" s="7"/>
      <c r="E225" s="7"/>
      <c r="F225" s="7"/>
      <c r="G225" s="7"/>
      <c r="H225" s="7"/>
      <c r="I225" s="52"/>
      <c r="J225" s="7"/>
      <c r="K225" s="7"/>
      <c r="L225" s="7"/>
      <c r="M225" s="7"/>
      <c r="N225" s="7"/>
      <c r="O225" s="54"/>
      <c r="P225" s="7" t="str">
        <f t="shared" si="3"/>
        <v/>
      </c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spans="1:26" x14ac:dyDescent="0.7">
      <c r="A226" s="55"/>
      <c r="B226" s="55"/>
      <c r="C226" s="7"/>
      <c r="D226" s="7"/>
      <c r="E226" s="7"/>
      <c r="F226" s="7"/>
      <c r="G226" s="7"/>
      <c r="H226" s="7"/>
      <c r="I226" s="52"/>
      <c r="J226" s="7"/>
      <c r="K226" s="7"/>
      <c r="L226" s="7"/>
      <c r="M226" s="7"/>
      <c r="N226" s="7"/>
      <c r="O226" s="54"/>
      <c r="P226" s="7" t="str">
        <f t="shared" si="3"/>
        <v/>
      </c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spans="1:26" x14ac:dyDescent="0.7">
      <c r="A227" s="55"/>
      <c r="B227" s="55"/>
      <c r="C227" s="7"/>
      <c r="D227" s="7"/>
      <c r="E227" s="7"/>
      <c r="F227" s="7"/>
      <c r="G227" s="7"/>
      <c r="H227" s="7"/>
      <c r="I227" s="52"/>
      <c r="J227" s="7"/>
      <c r="K227" s="7"/>
      <c r="L227" s="7"/>
      <c r="M227" s="7"/>
      <c r="N227" s="7"/>
      <c r="O227" s="54"/>
      <c r="P227" s="7" t="str">
        <f t="shared" si="3"/>
        <v/>
      </c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spans="1:26" x14ac:dyDescent="0.7">
      <c r="A228" s="55"/>
      <c r="B228" s="55"/>
      <c r="C228" s="7"/>
      <c r="D228" s="7"/>
      <c r="E228" s="7"/>
      <c r="F228" s="7"/>
      <c r="G228" s="7"/>
      <c r="H228" s="7"/>
      <c r="I228" s="52"/>
      <c r="J228" s="7"/>
      <c r="K228" s="7"/>
      <c r="L228" s="7"/>
      <c r="M228" s="7"/>
      <c r="N228" s="7"/>
      <c r="O228" s="54"/>
      <c r="P228" s="7" t="str">
        <f t="shared" si="3"/>
        <v/>
      </c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spans="1:26" x14ac:dyDescent="0.7">
      <c r="A229" s="55"/>
      <c r="B229" s="55"/>
      <c r="C229" s="7"/>
      <c r="D229" s="7"/>
      <c r="E229" s="7"/>
      <c r="F229" s="7"/>
      <c r="G229" s="7"/>
      <c r="H229" s="7"/>
      <c r="I229" s="52"/>
      <c r="J229" s="7"/>
      <c r="K229" s="7"/>
      <c r="L229" s="7"/>
      <c r="M229" s="7"/>
      <c r="N229" s="7"/>
      <c r="O229" s="54"/>
      <c r="P229" s="7" t="str">
        <f t="shared" si="3"/>
        <v/>
      </c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spans="1:26" x14ac:dyDescent="0.7">
      <c r="A230" s="55"/>
      <c r="B230" s="55"/>
      <c r="C230" s="7"/>
      <c r="D230" s="7"/>
      <c r="E230" s="7"/>
      <c r="F230" s="7"/>
      <c r="G230" s="7"/>
      <c r="H230" s="7"/>
      <c r="I230" s="52"/>
      <c r="J230" s="7"/>
      <c r="K230" s="7"/>
      <c r="L230" s="7"/>
      <c r="M230" s="7"/>
      <c r="N230" s="7"/>
      <c r="O230" s="54"/>
      <c r="P230" s="7" t="str">
        <f t="shared" si="3"/>
        <v/>
      </c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spans="1:26" x14ac:dyDescent="0.7">
      <c r="A231" s="55"/>
      <c r="B231" s="55"/>
      <c r="C231" s="7"/>
      <c r="D231" s="7"/>
      <c r="E231" s="7"/>
      <c r="F231" s="7"/>
      <c r="G231" s="7"/>
      <c r="H231" s="7"/>
      <c r="I231" s="52"/>
      <c r="J231" s="7"/>
      <c r="K231" s="7"/>
      <c r="L231" s="7"/>
      <c r="M231" s="7"/>
      <c r="N231" s="7"/>
      <c r="O231" s="54"/>
      <c r="P231" s="7" t="str">
        <f t="shared" si="3"/>
        <v/>
      </c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spans="1:26" x14ac:dyDescent="0.7">
      <c r="A232" s="55"/>
      <c r="B232" s="55"/>
      <c r="C232" s="7"/>
      <c r="D232" s="7"/>
      <c r="E232" s="7"/>
      <c r="F232" s="7"/>
      <c r="G232" s="7"/>
      <c r="H232" s="7"/>
      <c r="I232" s="52"/>
      <c r="J232" s="7"/>
      <c r="K232" s="7"/>
      <c r="L232" s="7"/>
      <c r="M232" s="7"/>
      <c r="N232" s="7"/>
      <c r="O232" s="54"/>
      <c r="P232" s="7" t="str">
        <f t="shared" si="3"/>
        <v/>
      </c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spans="1:26" x14ac:dyDescent="0.7">
      <c r="A233" s="55"/>
      <c r="B233" s="55"/>
      <c r="C233" s="7"/>
      <c r="D233" s="7"/>
      <c r="E233" s="7"/>
      <c r="F233" s="7"/>
      <c r="G233" s="7"/>
      <c r="H233" s="7"/>
      <c r="I233" s="52"/>
      <c r="J233" s="7"/>
      <c r="K233" s="7"/>
      <c r="L233" s="7"/>
      <c r="M233" s="7"/>
      <c r="N233" s="7"/>
      <c r="O233" s="54"/>
      <c r="P233" s="7" t="str">
        <f t="shared" si="3"/>
        <v/>
      </c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spans="1:26" x14ac:dyDescent="0.7">
      <c r="A234" s="55"/>
      <c r="B234" s="55"/>
      <c r="C234" s="7"/>
      <c r="D234" s="7"/>
      <c r="E234" s="7"/>
      <c r="F234" s="7"/>
      <c r="G234" s="7"/>
      <c r="H234" s="7"/>
      <c r="I234" s="52"/>
      <c r="J234" s="7"/>
      <c r="K234" s="7"/>
      <c r="L234" s="7"/>
      <c r="M234" s="7"/>
      <c r="N234" s="7"/>
      <c r="O234" s="54"/>
      <c r="P234" s="7" t="str">
        <f t="shared" si="3"/>
        <v/>
      </c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spans="1:26" x14ac:dyDescent="0.7">
      <c r="A235" s="55"/>
      <c r="B235" s="55"/>
      <c r="C235" s="7"/>
      <c r="D235" s="7"/>
      <c r="E235" s="7"/>
      <c r="F235" s="7"/>
      <c r="G235" s="7"/>
      <c r="H235" s="7"/>
      <c r="I235" s="52"/>
      <c r="J235" s="7"/>
      <c r="K235" s="7"/>
      <c r="L235" s="7"/>
      <c r="M235" s="7"/>
      <c r="N235" s="7"/>
      <c r="O235" s="54"/>
      <c r="P235" s="7" t="str">
        <f t="shared" si="3"/>
        <v/>
      </c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spans="1:26" x14ac:dyDescent="0.7">
      <c r="A236" s="55"/>
      <c r="B236" s="55"/>
      <c r="C236" s="7"/>
      <c r="D236" s="7"/>
      <c r="E236" s="7"/>
      <c r="F236" s="7"/>
      <c r="G236" s="7"/>
      <c r="H236" s="7"/>
      <c r="I236" s="52"/>
      <c r="J236" s="7"/>
      <c r="K236" s="7"/>
      <c r="L236" s="7"/>
      <c r="M236" s="7"/>
      <c r="N236" s="7"/>
      <c r="O236" s="54"/>
      <c r="P236" s="7" t="str">
        <f t="shared" si="3"/>
        <v/>
      </c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spans="1:26" x14ac:dyDescent="0.7">
      <c r="A237" s="55"/>
      <c r="B237" s="55"/>
      <c r="C237" s="7"/>
      <c r="D237" s="7"/>
      <c r="E237" s="7"/>
      <c r="F237" s="7"/>
      <c r="G237" s="7"/>
      <c r="H237" s="7"/>
      <c r="I237" s="52"/>
      <c r="J237" s="7"/>
      <c r="K237" s="7"/>
      <c r="L237" s="7"/>
      <c r="M237" s="7"/>
      <c r="N237" s="7"/>
      <c r="O237" s="54"/>
      <c r="P237" s="7" t="str">
        <f t="shared" si="3"/>
        <v/>
      </c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spans="1:26" x14ac:dyDescent="0.7">
      <c r="A238" s="55"/>
      <c r="B238" s="55"/>
      <c r="C238" s="7"/>
      <c r="D238" s="7"/>
      <c r="E238" s="7"/>
      <c r="F238" s="7"/>
      <c r="G238" s="7"/>
      <c r="H238" s="7"/>
      <c r="I238" s="52"/>
      <c r="J238" s="7"/>
      <c r="K238" s="7"/>
      <c r="L238" s="7"/>
      <c r="M238" s="7"/>
      <c r="N238" s="7"/>
      <c r="O238" s="54"/>
      <c r="P238" s="7" t="str">
        <f t="shared" si="3"/>
        <v/>
      </c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spans="1:26" x14ac:dyDescent="0.7">
      <c r="A239" s="55"/>
      <c r="B239" s="55"/>
      <c r="C239" s="7"/>
      <c r="D239" s="7"/>
      <c r="E239" s="7"/>
      <c r="F239" s="7"/>
      <c r="G239" s="7"/>
      <c r="H239" s="7"/>
      <c r="I239" s="52"/>
      <c r="J239" s="7"/>
      <c r="K239" s="7"/>
      <c r="L239" s="7"/>
      <c r="M239" s="7"/>
      <c r="N239" s="7"/>
      <c r="O239" s="54"/>
      <c r="P239" s="7" t="str">
        <f t="shared" si="3"/>
        <v/>
      </c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spans="1:26" x14ac:dyDescent="0.7">
      <c r="A240" s="55"/>
      <c r="B240" s="55"/>
      <c r="C240" s="7"/>
      <c r="D240" s="7"/>
      <c r="E240" s="7"/>
      <c r="F240" s="7"/>
      <c r="G240" s="7"/>
      <c r="H240" s="7"/>
      <c r="I240" s="52"/>
      <c r="J240" s="7"/>
      <c r="K240" s="7"/>
      <c r="L240" s="7"/>
      <c r="M240" s="7"/>
      <c r="N240" s="7"/>
      <c r="O240" s="54"/>
      <c r="P240" s="7" t="str">
        <f t="shared" si="3"/>
        <v/>
      </c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spans="1:26" x14ac:dyDescent="0.7">
      <c r="A241" s="55"/>
      <c r="B241" s="55"/>
      <c r="C241" s="7"/>
      <c r="D241" s="7"/>
      <c r="E241" s="7"/>
      <c r="F241" s="7"/>
      <c r="G241" s="7"/>
      <c r="H241" s="7"/>
      <c r="I241" s="52"/>
      <c r="J241" s="7"/>
      <c r="K241" s="7"/>
      <c r="L241" s="7"/>
      <c r="M241" s="7"/>
      <c r="N241" s="7"/>
      <c r="O241" s="54"/>
      <c r="P241" s="7" t="str">
        <f t="shared" si="3"/>
        <v/>
      </c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spans="1:26" x14ac:dyDescent="0.7">
      <c r="A242" s="55"/>
      <c r="B242" s="55"/>
      <c r="C242" s="7"/>
      <c r="D242" s="7"/>
      <c r="E242" s="7"/>
      <c r="F242" s="7"/>
      <c r="G242" s="7"/>
      <c r="H242" s="7"/>
      <c r="I242" s="52"/>
      <c r="J242" s="7"/>
      <c r="K242" s="7"/>
      <c r="L242" s="7"/>
      <c r="M242" s="7"/>
      <c r="N242" s="7"/>
      <c r="O242" s="54"/>
      <c r="P242" s="7" t="str">
        <f t="shared" si="3"/>
        <v/>
      </c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spans="1:26" x14ac:dyDescent="0.7">
      <c r="A243" s="55"/>
      <c r="B243" s="55"/>
      <c r="C243" s="7"/>
      <c r="D243" s="7"/>
      <c r="E243" s="7"/>
      <c r="F243" s="7"/>
      <c r="G243" s="7"/>
      <c r="H243" s="7"/>
      <c r="I243" s="52"/>
      <c r="J243" s="7"/>
      <c r="K243" s="7"/>
      <c r="L243" s="7"/>
      <c r="M243" s="7"/>
      <c r="N243" s="7"/>
      <c r="O243" s="54"/>
      <c r="P243" s="7" t="str">
        <f t="shared" si="3"/>
        <v/>
      </c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spans="1:26" x14ac:dyDescent="0.7">
      <c r="A244" s="55"/>
      <c r="B244" s="55"/>
      <c r="C244" s="7"/>
      <c r="D244" s="7"/>
      <c r="E244" s="7"/>
      <c r="F244" s="7"/>
      <c r="G244" s="7"/>
      <c r="H244" s="7"/>
      <c r="I244" s="52"/>
      <c r="J244" s="7"/>
      <c r="K244" s="7"/>
      <c r="L244" s="7"/>
      <c r="M244" s="7"/>
      <c r="N244" s="7"/>
      <c r="O244" s="54"/>
      <c r="P244" s="7" t="str">
        <f t="shared" si="3"/>
        <v/>
      </c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spans="1:26" x14ac:dyDescent="0.7">
      <c r="A245" s="55"/>
      <c r="B245" s="55"/>
      <c r="C245" s="7"/>
      <c r="D245" s="7"/>
      <c r="E245" s="7"/>
      <c r="F245" s="7"/>
      <c r="G245" s="7"/>
      <c r="H245" s="7"/>
      <c r="I245" s="52"/>
      <c r="J245" s="7"/>
      <c r="K245" s="7"/>
      <c r="L245" s="7"/>
      <c r="M245" s="7"/>
      <c r="N245" s="7"/>
      <c r="O245" s="54"/>
      <c r="P245" s="7" t="str">
        <f t="shared" si="3"/>
        <v/>
      </c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spans="1:26" x14ac:dyDescent="0.7">
      <c r="A246" s="55"/>
      <c r="B246" s="55"/>
      <c r="C246" s="7"/>
      <c r="D246" s="7"/>
      <c r="E246" s="7"/>
      <c r="F246" s="7"/>
      <c r="G246" s="7"/>
      <c r="H246" s="7"/>
      <c r="I246" s="52"/>
      <c r="J246" s="7"/>
      <c r="K246" s="7"/>
      <c r="L246" s="7"/>
      <c r="M246" s="7"/>
      <c r="N246" s="7"/>
      <c r="O246" s="54"/>
      <c r="P246" s="7" t="str">
        <f t="shared" si="3"/>
        <v/>
      </c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spans="1:26" x14ac:dyDescent="0.7">
      <c r="A247" s="55"/>
      <c r="B247" s="55"/>
      <c r="C247" s="7"/>
      <c r="D247" s="7"/>
      <c r="E247" s="7"/>
      <c r="F247" s="7"/>
      <c r="G247" s="7"/>
      <c r="H247" s="7"/>
      <c r="I247" s="52"/>
      <c r="J247" s="7"/>
      <c r="K247" s="7"/>
      <c r="L247" s="7"/>
      <c r="M247" s="7"/>
      <c r="N247" s="7"/>
      <c r="O247" s="54"/>
      <c r="P247" s="7" t="str">
        <f t="shared" si="3"/>
        <v/>
      </c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spans="1:26" x14ac:dyDescent="0.7">
      <c r="A248" s="55"/>
      <c r="B248" s="55"/>
      <c r="C248" s="7"/>
      <c r="D248" s="7"/>
      <c r="E248" s="7"/>
      <c r="F248" s="7"/>
      <c r="G248" s="7"/>
      <c r="H248" s="7"/>
      <c r="I248" s="52"/>
      <c r="J248" s="7"/>
      <c r="K248" s="7"/>
      <c r="L248" s="7"/>
      <c r="M248" s="7"/>
      <c r="N248" s="7"/>
      <c r="O248" s="54"/>
      <c r="P248" s="7" t="str">
        <f t="shared" si="3"/>
        <v/>
      </c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spans="1:26" x14ac:dyDescent="0.7">
      <c r="A249" s="55"/>
      <c r="B249" s="55"/>
      <c r="C249" s="7"/>
      <c r="D249" s="7"/>
      <c r="E249" s="7"/>
      <c r="F249" s="7"/>
      <c r="G249" s="7"/>
      <c r="H249" s="7"/>
      <c r="I249" s="52"/>
      <c r="J249" s="7"/>
      <c r="K249" s="7"/>
      <c r="L249" s="7"/>
      <c r="M249" s="7"/>
      <c r="N249" s="7"/>
      <c r="O249" s="54"/>
      <c r="P249" s="7" t="str">
        <f t="shared" si="3"/>
        <v/>
      </c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spans="1:26" x14ac:dyDescent="0.7">
      <c r="A250" s="55"/>
      <c r="B250" s="55"/>
      <c r="C250" s="7"/>
      <c r="D250" s="7"/>
      <c r="E250" s="7"/>
      <c r="F250" s="7"/>
      <c r="G250" s="7"/>
      <c r="H250" s="7"/>
      <c r="I250" s="52"/>
      <c r="J250" s="7"/>
      <c r="K250" s="7"/>
      <c r="L250" s="7"/>
      <c r="M250" s="7"/>
      <c r="N250" s="7"/>
      <c r="O250" s="54"/>
      <c r="P250" s="7" t="str">
        <f t="shared" si="3"/>
        <v/>
      </c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spans="1:26" x14ac:dyDescent="0.7">
      <c r="A251" s="55"/>
      <c r="B251" s="55"/>
      <c r="C251" s="7"/>
      <c r="D251" s="7"/>
      <c r="E251" s="7"/>
      <c r="F251" s="7"/>
      <c r="G251" s="7"/>
      <c r="H251" s="7"/>
      <c r="I251" s="52"/>
      <c r="J251" s="7"/>
      <c r="K251" s="7"/>
      <c r="L251" s="7"/>
      <c r="M251" s="7"/>
      <c r="N251" s="7"/>
      <c r="O251" s="54"/>
      <c r="P251" s="7" t="str">
        <f t="shared" si="3"/>
        <v/>
      </c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spans="1:26" x14ac:dyDescent="0.7">
      <c r="A252" s="55"/>
      <c r="B252" s="55"/>
      <c r="C252" s="7"/>
      <c r="D252" s="7"/>
      <c r="E252" s="7"/>
      <c r="F252" s="7"/>
      <c r="G252" s="7"/>
      <c r="H252" s="7"/>
      <c r="I252" s="52"/>
      <c r="J252" s="7"/>
      <c r="K252" s="7"/>
      <c r="L252" s="7"/>
      <c r="M252" s="7"/>
      <c r="N252" s="7"/>
      <c r="O252" s="54"/>
      <c r="P252" s="7" t="str">
        <f t="shared" si="3"/>
        <v/>
      </c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spans="1:26" x14ac:dyDescent="0.7">
      <c r="A253" s="55"/>
      <c r="B253" s="55"/>
      <c r="C253" s="7"/>
      <c r="D253" s="7"/>
      <c r="E253" s="7"/>
      <c r="F253" s="7"/>
      <c r="G253" s="7"/>
      <c r="H253" s="7"/>
      <c r="I253" s="52"/>
      <c r="J253" s="7"/>
      <c r="K253" s="7"/>
      <c r="L253" s="7"/>
      <c r="M253" s="7"/>
      <c r="N253" s="7"/>
      <c r="O253" s="54"/>
      <c r="P253" s="7" t="str">
        <f t="shared" si="3"/>
        <v/>
      </c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spans="1:26" x14ac:dyDescent="0.7">
      <c r="A254" s="55"/>
      <c r="B254" s="55"/>
      <c r="C254" s="7"/>
      <c r="D254" s="7"/>
      <c r="E254" s="7"/>
      <c r="F254" s="7"/>
      <c r="G254" s="7"/>
      <c r="H254" s="7"/>
      <c r="I254" s="52"/>
      <c r="J254" s="7"/>
      <c r="K254" s="7"/>
      <c r="L254" s="7"/>
      <c r="M254" s="7"/>
      <c r="N254" s="7"/>
      <c r="O254" s="54"/>
      <c r="P254" s="7" t="str">
        <f t="shared" si="3"/>
        <v/>
      </c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spans="1:26" x14ac:dyDescent="0.7">
      <c r="A255" s="55"/>
      <c r="B255" s="55"/>
      <c r="C255" s="7"/>
      <c r="D255" s="7"/>
      <c r="E255" s="7"/>
      <c r="F255" s="7"/>
      <c r="G255" s="7"/>
      <c r="H255" s="7"/>
      <c r="I255" s="52"/>
      <c r="J255" s="7"/>
      <c r="K255" s="7"/>
      <c r="L255" s="7"/>
      <c r="M255" s="7"/>
      <c r="N255" s="7"/>
      <c r="O255" s="54"/>
      <c r="P255" s="7" t="str">
        <f t="shared" si="3"/>
        <v/>
      </c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spans="1:26" x14ac:dyDescent="0.7">
      <c r="A256" s="55"/>
      <c r="B256" s="55"/>
      <c r="C256" s="7"/>
      <c r="D256" s="7"/>
      <c r="E256" s="7"/>
      <c r="F256" s="7"/>
      <c r="G256" s="7"/>
      <c r="H256" s="7"/>
      <c r="I256" s="52"/>
      <c r="J256" s="7"/>
      <c r="K256" s="7"/>
      <c r="L256" s="7"/>
      <c r="M256" s="7"/>
      <c r="N256" s="7"/>
      <c r="O256" s="54"/>
      <c r="P256" s="7" t="str">
        <f t="shared" si="3"/>
        <v/>
      </c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spans="1:26" x14ac:dyDescent="0.7">
      <c r="A257" s="55"/>
      <c r="B257" s="55"/>
      <c r="C257" s="7"/>
      <c r="D257" s="7"/>
      <c r="E257" s="7"/>
      <c r="F257" s="7"/>
      <c r="G257" s="7"/>
      <c r="H257" s="7"/>
      <c r="I257" s="52"/>
      <c r="J257" s="7"/>
      <c r="K257" s="7"/>
      <c r="L257" s="7"/>
      <c r="M257" s="7"/>
      <c r="N257" s="7"/>
      <c r="O257" s="54"/>
      <c r="P257" s="7" t="str">
        <f t="shared" si="3"/>
        <v/>
      </c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spans="1:26" x14ac:dyDescent="0.7">
      <c r="A258" s="55"/>
      <c r="B258" s="55"/>
      <c r="C258" s="7"/>
      <c r="D258" s="7"/>
      <c r="E258" s="7"/>
      <c r="F258" s="7"/>
      <c r="G258" s="7"/>
      <c r="H258" s="7"/>
      <c r="I258" s="52"/>
      <c r="J258" s="7"/>
      <c r="K258" s="7"/>
      <c r="L258" s="7"/>
      <c r="M258" s="7"/>
      <c r="N258" s="7"/>
      <c r="O258" s="54"/>
      <c r="P258" s="7" t="str">
        <f t="shared" si="3"/>
        <v/>
      </c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spans="1:26" x14ac:dyDescent="0.7">
      <c r="A259" s="55"/>
      <c r="B259" s="55"/>
      <c r="C259" s="7"/>
      <c r="D259" s="7"/>
      <c r="E259" s="7"/>
      <c r="F259" s="7"/>
      <c r="G259" s="7"/>
      <c r="H259" s="7"/>
      <c r="I259" s="52"/>
      <c r="J259" s="7"/>
      <c r="K259" s="7"/>
      <c r="L259" s="7"/>
      <c r="M259" s="7"/>
      <c r="N259" s="7"/>
      <c r="O259" s="54"/>
      <c r="P259" s="7" t="str">
        <f t="shared" si="3"/>
        <v/>
      </c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spans="1:26" x14ac:dyDescent="0.7">
      <c r="A260" s="55"/>
      <c r="B260" s="55"/>
      <c r="C260" s="7"/>
      <c r="D260" s="7"/>
      <c r="E260" s="7"/>
      <c r="F260" s="7"/>
      <c r="G260" s="7"/>
      <c r="H260" s="7"/>
      <c r="I260" s="52"/>
      <c r="J260" s="7"/>
      <c r="K260" s="7"/>
      <c r="L260" s="7"/>
      <c r="M260" s="7"/>
      <c r="N260" s="7"/>
      <c r="O260" s="54"/>
      <c r="P260" s="7" t="str">
        <f t="shared" si="3"/>
        <v/>
      </c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spans="1:26" x14ac:dyDescent="0.7">
      <c r="A261" s="55"/>
      <c r="B261" s="55"/>
      <c r="C261" s="7"/>
      <c r="D261" s="7"/>
      <c r="E261" s="7"/>
      <c r="F261" s="7"/>
      <c r="G261" s="7"/>
      <c r="H261" s="7"/>
      <c r="I261" s="52"/>
      <c r="J261" s="7"/>
      <c r="K261" s="7"/>
      <c r="L261" s="7"/>
      <c r="M261" s="7"/>
      <c r="N261" s="7"/>
      <c r="O261" s="54"/>
      <c r="P261" s="7" t="str">
        <f t="shared" si="3"/>
        <v/>
      </c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spans="1:26" x14ac:dyDescent="0.7">
      <c r="A262" s="55"/>
      <c r="B262" s="55"/>
      <c r="C262" s="7"/>
      <c r="D262" s="7"/>
      <c r="E262" s="7"/>
      <c r="F262" s="7"/>
      <c r="G262" s="7"/>
      <c r="H262" s="7"/>
      <c r="I262" s="52"/>
      <c r="J262" s="7"/>
      <c r="K262" s="7"/>
      <c r="L262" s="7"/>
      <c r="M262" s="7"/>
      <c r="N262" s="7"/>
      <c r="O262" s="54"/>
      <c r="P262" s="7" t="str">
        <f t="shared" si="3"/>
        <v/>
      </c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spans="1:26" x14ac:dyDescent="0.7">
      <c r="A263" s="55"/>
      <c r="B263" s="55"/>
      <c r="C263" s="7"/>
      <c r="D263" s="7"/>
      <c r="E263" s="7"/>
      <c r="F263" s="7"/>
      <c r="G263" s="7"/>
      <c r="H263" s="7"/>
      <c r="I263" s="52"/>
      <c r="J263" s="7"/>
      <c r="K263" s="7"/>
      <c r="L263" s="7"/>
      <c r="M263" s="7"/>
      <c r="N263" s="7"/>
      <c r="O263" s="54"/>
      <c r="P263" s="7" t="str">
        <f t="shared" ref="P263:P326" si="4">IF(I263="","",SUMIFS(OrderItems_Qty,OrderItems_Type,"PURCHASE",OrderItems_SKU,I263)-SUMIFS(OrderItems_Qty,OrderItems_Type,"SALE",OrderItems_SKU,I263))</f>
        <v/>
      </c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spans="1:26" x14ac:dyDescent="0.7">
      <c r="A264" s="55"/>
      <c r="B264" s="55"/>
      <c r="C264" s="7"/>
      <c r="D264" s="7"/>
      <c r="E264" s="7"/>
      <c r="F264" s="7"/>
      <c r="G264" s="7"/>
      <c r="H264" s="7"/>
      <c r="I264" s="52"/>
      <c r="J264" s="7"/>
      <c r="K264" s="7"/>
      <c r="L264" s="7"/>
      <c r="M264" s="7"/>
      <c r="N264" s="7"/>
      <c r="O264" s="54"/>
      <c r="P264" s="7" t="str">
        <f t="shared" si="4"/>
        <v/>
      </c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spans="1:26" x14ac:dyDescent="0.7">
      <c r="A265" s="55"/>
      <c r="B265" s="55"/>
      <c r="C265" s="7"/>
      <c r="D265" s="7"/>
      <c r="E265" s="7"/>
      <c r="F265" s="7"/>
      <c r="G265" s="7"/>
      <c r="H265" s="7"/>
      <c r="I265" s="52"/>
      <c r="J265" s="7"/>
      <c r="K265" s="7"/>
      <c r="L265" s="7"/>
      <c r="M265" s="7"/>
      <c r="N265" s="7"/>
      <c r="O265" s="54"/>
      <c r="P265" s="7" t="str">
        <f t="shared" si="4"/>
        <v/>
      </c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spans="1:26" x14ac:dyDescent="0.7">
      <c r="A266" s="55"/>
      <c r="B266" s="55"/>
      <c r="C266" s="7"/>
      <c r="D266" s="7"/>
      <c r="E266" s="7"/>
      <c r="F266" s="7"/>
      <c r="G266" s="7"/>
      <c r="H266" s="7"/>
      <c r="I266" s="52"/>
      <c r="J266" s="7"/>
      <c r="K266" s="7"/>
      <c r="L266" s="7"/>
      <c r="M266" s="7"/>
      <c r="N266" s="7"/>
      <c r="O266" s="54"/>
      <c r="P266" s="7" t="str">
        <f t="shared" si="4"/>
        <v/>
      </c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spans="1:26" x14ac:dyDescent="0.7">
      <c r="A267" s="55"/>
      <c r="B267" s="55"/>
      <c r="C267" s="7"/>
      <c r="D267" s="7"/>
      <c r="E267" s="7"/>
      <c r="F267" s="7"/>
      <c r="G267" s="7"/>
      <c r="H267" s="7"/>
      <c r="I267" s="52"/>
      <c r="J267" s="7"/>
      <c r="K267" s="7"/>
      <c r="L267" s="7"/>
      <c r="M267" s="7"/>
      <c r="N267" s="7"/>
      <c r="O267" s="54"/>
      <c r="P267" s="7" t="str">
        <f t="shared" si="4"/>
        <v/>
      </c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spans="1:26" x14ac:dyDescent="0.7">
      <c r="A268" s="55"/>
      <c r="B268" s="55"/>
      <c r="C268" s="7"/>
      <c r="D268" s="7"/>
      <c r="E268" s="7"/>
      <c r="F268" s="7"/>
      <c r="G268" s="7"/>
      <c r="H268" s="7"/>
      <c r="I268" s="52"/>
      <c r="J268" s="7"/>
      <c r="K268" s="7"/>
      <c r="L268" s="7"/>
      <c r="M268" s="7"/>
      <c r="N268" s="7"/>
      <c r="O268" s="54"/>
      <c r="P268" s="7" t="str">
        <f t="shared" si="4"/>
        <v/>
      </c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spans="1:26" x14ac:dyDescent="0.7">
      <c r="A269" s="55"/>
      <c r="B269" s="55"/>
      <c r="C269" s="7"/>
      <c r="D269" s="7"/>
      <c r="E269" s="7"/>
      <c r="F269" s="7"/>
      <c r="G269" s="7"/>
      <c r="H269" s="7"/>
      <c r="I269" s="52"/>
      <c r="J269" s="7"/>
      <c r="K269" s="7"/>
      <c r="L269" s="7"/>
      <c r="M269" s="7"/>
      <c r="N269" s="7"/>
      <c r="O269" s="54"/>
      <c r="P269" s="7" t="str">
        <f t="shared" si="4"/>
        <v/>
      </c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spans="1:26" x14ac:dyDescent="0.7">
      <c r="A270" s="55"/>
      <c r="B270" s="55"/>
      <c r="C270" s="7"/>
      <c r="D270" s="7"/>
      <c r="E270" s="7"/>
      <c r="F270" s="7"/>
      <c r="G270" s="7"/>
      <c r="H270" s="7"/>
      <c r="I270" s="52"/>
      <c r="J270" s="7"/>
      <c r="K270" s="7"/>
      <c r="L270" s="7"/>
      <c r="M270" s="7"/>
      <c r="N270" s="7"/>
      <c r="O270" s="54"/>
      <c r="P270" s="7" t="str">
        <f t="shared" si="4"/>
        <v/>
      </c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spans="1:26" x14ac:dyDescent="0.7">
      <c r="A271" s="55"/>
      <c r="B271" s="55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 t="str">
        <f t="shared" si="4"/>
        <v/>
      </c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spans="1:26" x14ac:dyDescent="0.7">
      <c r="A272" s="55"/>
      <c r="B272" s="55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 t="str">
        <f t="shared" si="4"/>
        <v/>
      </c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spans="1:26" x14ac:dyDescent="0.7">
      <c r="A273" s="55"/>
      <c r="B273" s="55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 t="str">
        <f t="shared" si="4"/>
        <v/>
      </c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spans="1:26" x14ac:dyDescent="0.7">
      <c r="A274" s="55"/>
      <c r="B274" s="55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 t="str">
        <f t="shared" si="4"/>
        <v/>
      </c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spans="1:26" x14ac:dyDescent="0.7">
      <c r="A275" s="55"/>
      <c r="B275" s="55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 t="str">
        <f t="shared" si="4"/>
        <v/>
      </c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spans="1:26" x14ac:dyDescent="0.7">
      <c r="A276" s="55"/>
      <c r="B276" s="55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 t="str">
        <f t="shared" si="4"/>
        <v/>
      </c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spans="1:26" x14ac:dyDescent="0.7">
      <c r="A277" s="55"/>
      <c r="B277" s="55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 t="str">
        <f t="shared" si="4"/>
        <v/>
      </c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spans="1:26" x14ac:dyDescent="0.7">
      <c r="A278" s="55"/>
      <c r="B278" s="55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 t="str">
        <f t="shared" si="4"/>
        <v/>
      </c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spans="1:26" x14ac:dyDescent="0.7">
      <c r="A279" s="55"/>
      <c r="B279" s="55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 t="str">
        <f t="shared" si="4"/>
        <v/>
      </c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spans="1:26" x14ac:dyDescent="0.7">
      <c r="A280" s="55"/>
      <c r="B280" s="55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 t="str">
        <f t="shared" si="4"/>
        <v/>
      </c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spans="1:26" x14ac:dyDescent="0.7">
      <c r="A281" s="55"/>
      <c r="B281" s="55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 t="str">
        <f t="shared" si="4"/>
        <v/>
      </c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spans="1:26" x14ac:dyDescent="0.7">
      <c r="A282" s="55"/>
      <c r="B282" s="55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 t="str">
        <f t="shared" si="4"/>
        <v/>
      </c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spans="1:26" x14ac:dyDescent="0.7">
      <c r="A283" s="55"/>
      <c r="B283" s="55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 t="str">
        <f t="shared" si="4"/>
        <v/>
      </c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spans="1:26" x14ac:dyDescent="0.7">
      <c r="A284" s="55"/>
      <c r="B284" s="55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 t="str">
        <f t="shared" si="4"/>
        <v/>
      </c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spans="1:26" x14ac:dyDescent="0.7">
      <c r="A285" s="55"/>
      <c r="B285" s="55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 t="str">
        <f t="shared" si="4"/>
        <v/>
      </c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spans="1:26" x14ac:dyDescent="0.7">
      <c r="A286" s="55"/>
      <c r="B286" s="55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 t="str">
        <f t="shared" si="4"/>
        <v/>
      </c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spans="1:26" x14ac:dyDescent="0.7">
      <c r="A287" s="55"/>
      <c r="B287" s="55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 t="str">
        <f t="shared" si="4"/>
        <v/>
      </c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spans="1:26" x14ac:dyDescent="0.7">
      <c r="A288" s="55"/>
      <c r="B288" s="55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 t="str">
        <f t="shared" si="4"/>
        <v/>
      </c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spans="1:26" x14ac:dyDescent="0.7">
      <c r="A289" s="55"/>
      <c r="B289" s="55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 t="str">
        <f t="shared" si="4"/>
        <v/>
      </c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spans="1:26" x14ac:dyDescent="0.7">
      <c r="A290" s="55"/>
      <c r="B290" s="55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 t="str">
        <f t="shared" si="4"/>
        <v/>
      </c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spans="1:26" x14ac:dyDescent="0.7">
      <c r="A291" s="55"/>
      <c r="B291" s="55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 t="str">
        <f t="shared" si="4"/>
        <v/>
      </c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spans="1:26" x14ac:dyDescent="0.7">
      <c r="A292" s="55"/>
      <c r="B292" s="55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 t="str">
        <f t="shared" si="4"/>
        <v/>
      </c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spans="1:26" x14ac:dyDescent="0.7">
      <c r="A293" s="55"/>
      <c r="B293" s="55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 t="str">
        <f t="shared" si="4"/>
        <v/>
      </c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spans="1:26" x14ac:dyDescent="0.7">
      <c r="A294" s="55"/>
      <c r="B294" s="55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 t="str">
        <f t="shared" si="4"/>
        <v/>
      </c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spans="1:26" x14ac:dyDescent="0.7">
      <c r="A295" s="55"/>
      <c r="B295" s="55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 t="str">
        <f t="shared" si="4"/>
        <v/>
      </c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spans="1:26" x14ac:dyDescent="0.7">
      <c r="A296" s="55"/>
      <c r="B296" s="55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 t="str">
        <f t="shared" si="4"/>
        <v/>
      </c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spans="1:26" x14ac:dyDescent="0.7">
      <c r="A297" s="55"/>
      <c r="B297" s="55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 t="str">
        <f t="shared" si="4"/>
        <v/>
      </c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spans="1:26" x14ac:dyDescent="0.7">
      <c r="A298" s="55"/>
      <c r="B298" s="55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 t="str">
        <f t="shared" si="4"/>
        <v/>
      </c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spans="1:26" x14ac:dyDescent="0.7">
      <c r="A299" s="55"/>
      <c r="B299" s="55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 t="str">
        <f t="shared" si="4"/>
        <v/>
      </c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spans="1:26" x14ac:dyDescent="0.7">
      <c r="A300" s="55"/>
      <c r="B300" s="55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 t="str">
        <f t="shared" si="4"/>
        <v/>
      </c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spans="1:26" x14ac:dyDescent="0.7">
      <c r="A301" s="55"/>
      <c r="B301" s="55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 t="str">
        <f t="shared" si="4"/>
        <v/>
      </c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spans="1:26" x14ac:dyDescent="0.7">
      <c r="A302" s="55"/>
      <c r="B302" s="55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 t="str">
        <f t="shared" si="4"/>
        <v/>
      </c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spans="1:26" x14ac:dyDescent="0.7">
      <c r="A303" s="55"/>
      <c r="B303" s="55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 t="str">
        <f t="shared" si="4"/>
        <v/>
      </c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spans="1:26" x14ac:dyDescent="0.7">
      <c r="A304" s="55"/>
      <c r="B304" s="55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 t="str">
        <f t="shared" si="4"/>
        <v/>
      </c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spans="1:26" x14ac:dyDescent="0.7">
      <c r="A305" s="55"/>
      <c r="B305" s="55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 t="str">
        <f t="shared" si="4"/>
        <v/>
      </c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spans="1:26" x14ac:dyDescent="0.7">
      <c r="A306" s="55"/>
      <c r="B306" s="55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 t="str">
        <f t="shared" si="4"/>
        <v/>
      </c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spans="1:26" x14ac:dyDescent="0.7">
      <c r="A307" s="55"/>
      <c r="B307" s="55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 t="str">
        <f t="shared" si="4"/>
        <v/>
      </c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spans="1:26" x14ac:dyDescent="0.7">
      <c r="A308" s="55"/>
      <c r="B308" s="55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 t="str">
        <f t="shared" si="4"/>
        <v/>
      </c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spans="1:26" x14ac:dyDescent="0.7">
      <c r="A309" s="55"/>
      <c r="B309" s="55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 t="str">
        <f t="shared" si="4"/>
        <v/>
      </c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spans="1:26" x14ac:dyDescent="0.7">
      <c r="A310" s="55"/>
      <c r="B310" s="55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 t="str">
        <f t="shared" si="4"/>
        <v/>
      </c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spans="1:26" x14ac:dyDescent="0.7">
      <c r="A311" s="55"/>
      <c r="B311" s="55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 t="str">
        <f t="shared" si="4"/>
        <v/>
      </c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spans="1:26" x14ac:dyDescent="0.7">
      <c r="A312" s="55"/>
      <c r="B312" s="55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 t="str">
        <f t="shared" si="4"/>
        <v/>
      </c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spans="1:26" x14ac:dyDescent="0.7">
      <c r="A313" s="55"/>
      <c r="B313" s="55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 t="str">
        <f t="shared" si="4"/>
        <v/>
      </c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spans="1:26" x14ac:dyDescent="0.7">
      <c r="A314" s="55"/>
      <c r="B314" s="55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 t="str">
        <f t="shared" si="4"/>
        <v/>
      </c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spans="1:26" x14ac:dyDescent="0.7">
      <c r="A315" s="55"/>
      <c r="B315" s="55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 t="str">
        <f t="shared" si="4"/>
        <v/>
      </c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spans="1:26" x14ac:dyDescent="0.7">
      <c r="A316" s="55"/>
      <c r="B316" s="55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 t="str">
        <f t="shared" si="4"/>
        <v/>
      </c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spans="1:26" x14ac:dyDescent="0.7">
      <c r="A317" s="55"/>
      <c r="B317" s="55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 t="str">
        <f t="shared" si="4"/>
        <v/>
      </c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spans="1:26" x14ac:dyDescent="0.7">
      <c r="A318" s="55"/>
      <c r="B318" s="55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 t="str">
        <f t="shared" si="4"/>
        <v/>
      </c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spans="1:26" x14ac:dyDescent="0.7">
      <c r="A319" s="55"/>
      <c r="B319" s="55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 t="str">
        <f t="shared" si="4"/>
        <v/>
      </c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spans="1:26" x14ac:dyDescent="0.7">
      <c r="A320" s="55"/>
      <c r="B320" s="55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 t="str">
        <f t="shared" si="4"/>
        <v/>
      </c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spans="1:26" x14ac:dyDescent="0.7">
      <c r="A321" s="55"/>
      <c r="B321" s="55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 t="str">
        <f t="shared" si="4"/>
        <v/>
      </c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spans="1:26" x14ac:dyDescent="0.7">
      <c r="A322" s="55"/>
      <c r="B322" s="55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 t="str">
        <f t="shared" si="4"/>
        <v/>
      </c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spans="1:26" x14ac:dyDescent="0.7">
      <c r="A323" s="55"/>
      <c r="B323" s="55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 t="str">
        <f t="shared" si="4"/>
        <v/>
      </c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spans="1:26" x14ac:dyDescent="0.7">
      <c r="A324" s="55"/>
      <c r="B324" s="55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 t="str">
        <f t="shared" si="4"/>
        <v/>
      </c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spans="1:26" x14ac:dyDescent="0.7">
      <c r="A325" s="55"/>
      <c r="B325" s="55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 t="str">
        <f t="shared" si="4"/>
        <v/>
      </c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spans="1:26" x14ac:dyDescent="0.7">
      <c r="A326" s="55"/>
      <c r="B326" s="55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 t="str">
        <f t="shared" si="4"/>
        <v/>
      </c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spans="1:26" x14ac:dyDescent="0.7">
      <c r="C327" s="56"/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 t="str">
        <f t="shared" ref="P327:P390" si="5">IF(I327="","",SUMIFS(OrderItems_Qty,OrderItems_Type,"PURCHASE",OrderItems_SKU,I327)-SUMIFS(OrderItems_Qty,OrderItems_Type,"SALE",OrderItems_SKU,I327))</f>
        <v/>
      </c>
      <c r="Q327" s="56"/>
      <c r="R327" s="56"/>
      <c r="S327" s="56"/>
      <c r="T327" s="56"/>
      <c r="U327" s="56"/>
      <c r="V327" s="56"/>
      <c r="W327" s="56"/>
      <c r="X327" s="56"/>
      <c r="Y327" s="56"/>
      <c r="Z327" s="56"/>
    </row>
    <row r="328" spans="1:26" x14ac:dyDescent="0.7">
      <c r="C328" s="56"/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 t="str">
        <f t="shared" si="5"/>
        <v/>
      </c>
      <c r="Q328" s="56"/>
      <c r="R328" s="56"/>
      <c r="S328" s="56"/>
      <c r="T328" s="56"/>
      <c r="U328" s="56"/>
      <c r="V328" s="56"/>
      <c r="W328" s="56"/>
      <c r="X328" s="56"/>
      <c r="Y328" s="56"/>
      <c r="Z328" s="56"/>
    </row>
    <row r="329" spans="1:26" x14ac:dyDescent="0.7">
      <c r="C329" s="56"/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 t="str">
        <f t="shared" si="5"/>
        <v/>
      </c>
      <c r="Q329" s="56"/>
      <c r="R329" s="56"/>
      <c r="S329" s="56"/>
      <c r="T329" s="56"/>
      <c r="U329" s="56"/>
      <c r="V329" s="56"/>
      <c r="W329" s="56"/>
      <c r="X329" s="56"/>
      <c r="Y329" s="56"/>
      <c r="Z329" s="56"/>
    </row>
    <row r="330" spans="1:26" x14ac:dyDescent="0.7">
      <c r="C330" s="56"/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 t="str">
        <f t="shared" si="5"/>
        <v/>
      </c>
      <c r="Q330" s="56"/>
      <c r="R330" s="56"/>
      <c r="S330" s="56"/>
      <c r="T330" s="56"/>
      <c r="U330" s="56"/>
      <c r="V330" s="56"/>
      <c r="W330" s="56"/>
      <c r="X330" s="56"/>
      <c r="Y330" s="56"/>
      <c r="Z330" s="56"/>
    </row>
    <row r="331" spans="1:26" x14ac:dyDescent="0.7">
      <c r="C331" s="56"/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 t="str">
        <f t="shared" si="5"/>
        <v/>
      </c>
      <c r="Q331" s="56"/>
      <c r="R331" s="56"/>
      <c r="S331" s="56"/>
      <c r="T331" s="56"/>
      <c r="U331" s="56"/>
      <c r="V331" s="56"/>
      <c r="W331" s="56"/>
      <c r="X331" s="56"/>
      <c r="Y331" s="56"/>
      <c r="Z331" s="56"/>
    </row>
    <row r="332" spans="1:26" x14ac:dyDescent="0.7">
      <c r="C332" s="56"/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 t="str">
        <f t="shared" si="5"/>
        <v/>
      </c>
      <c r="Q332" s="56"/>
      <c r="R332" s="56"/>
      <c r="S332" s="56"/>
      <c r="T332" s="56"/>
      <c r="U332" s="56"/>
      <c r="V332" s="56"/>
      <c r="W332" s="56"/>
      <c r="X332" s="56"/>
      <c r="Y332" s="56"/>
      <c r="Z332" s="56"/>
    </row>
    <row r="333" spans="1:26" x14ac:dyDescent="0.7">
      <c r="C333" s="56"/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 t="str">
        <f t="shared" si="5"/>
        <v/>
      </c>
      <c r="Q333" s="56"/>
      <c r="R333" s="56"/>
      <c r="S333" s="56"/>
      <c r="T333" s="56"/>
      <c r="U333" s="56"/>
      <c r="V333" s="56"/>
      <c r="W333" s="56"/>
      <c r="X333" s="56"/>
      <c r="Y333" s="56"/>
      <c r="Z333" s="56"/>
    </row>
    <row r="334" spans="1:26" x14ac:dyDescent="0.7">
      <c r="C334" s="56"/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 t="str">
        <f t="shared" si="5"/>
        <v/>
      </c>
      <c r="Q334" s="56"/>
      <c r="R334" s="56"/>
      <c r="S334" s="56"/>
      <c r="T334" s="56"/>
      <c r="U334" s="56"/>
      <c r="V334" s="56"/>
      <c r="W334" s="56"/>
      <c r="X334" s="56"/>
      <c r="Y334" s="56"/>
      <c r="Z334" s="56"/>
    </row>
    <row r="335" spans="1:26" x14ac:dyDescent="0.7">
      <c r="C335" s="56"/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 t="str">
        <f t="shared" si="5"/>
        <v/>
      </c>
      <c r="Q335" s="56"/>
      <c r="R335" s="56"/>
      <c r="S335" s="56"/>
      <c r="T335" s="56"/>
      <c r="U335" s="56"/>
      <c r="V335" s="56"/>
      <c r="W335" s="56"/>
      <c r="X335" s="56"/>
      <c r="Y335" s="56"/>
      <c r="Z335" s="56"/>
    </row>
    <row r="336" spans="1:26" x14ac:dyDescent="0.7">
      <c r="C336" s="56"/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 t="str">
        <f t="shared" si="5"/>
        <v/>
      </c>
      <c r="Q336" s="56"/>
      <c r="R336" s="56"/>
      <c r="S336" s="56"/>
      <c r="T336" s="56"/>
      <c r="U336" s="56"/>
      <c r="V336" s="56"/>
      <c r="W336" s="56"/>
      <c r="X336" s="56"/>
      <c r="Y336" s="56"/>
      <c r="Z336" s="56"/>
    </row>
    <row r="337" spans="3:26" x14ac:dyDescent="0.7">
      <c r="C337" s="56"/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 t="str">
        <f t="shared" si="5"/>
        <v/>
      </c>
      <c r="Q337" s="56"/>
      <c r="R337" s="56"/>
      <c r="S337" s="56"/>
      <c r="T337" s="56"/>
      <c r="U337" s="56"/>
      <c r="V337" s="56"/>
      <c r="W337" s="56"/>
      <c r="X337" s="56"/>
      <c r="Y337" s="56"/>
      <c r="Z337" s="56"/>
    </row>
    <row r="338" spans="3:26" x14ac:dyDescent="0.7">
      <c r="C338" s="56"/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 t="str">
        <f t="shared" si="5"/>
        <v/>
      </c>
      <c r="Q338" s="56"/>
      <c r="R338" s="56"/>
      <c r="S338" s="56"/>
      <c r="T338" s="56"/>
      <c r="U338" s="56"/>
      <c r="V338" s="56"/>
      <c r="W338" s="56"/>
      <c r="X338" s="56"/>
      <c r="Y338" s="56"/>
      <c r="Z338" s="56"/>
    </row>
    <row r="339" spans="3:26" x14ac:dyDescent="0.7">
      <c r="C339" s="56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 t="str">
        <f t="shared" si="5"/>
        <v/>
      </c>
      <c r="Q339" s="56"/>
      <c r="R339" s="56"/>
      <c r="S339" s="56"/>
      <c r="T339" s="56"/>
      <c r="U339" s="56"/>
      <c r="V339" s="56"/>
      <c r="W339" s="56"/>
      <c r="X339" s="56"/>
      <c r="Y339" s="56"/>
      <c r="Z339" s="56"/>
    </row>
    <row r="340" spans="3:26" x14ac:dyDescent="0.7">
      <c r="C340" s="56"/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 t="str">
        <f t="shared" si="5"/>
        <v/>
      </c>
      <c r="Q340" s="56"/>
      <c r="R340" s="56"/>
      <c r="S340" s="56"/>
      <c r="T340" s="56"/>
      <c r="U340" s="56"/>
      <c r="V340" s="56"/>
      <c r="W340" s="56"/>
      <c r="X340" s="56"/>
      <c r="Y340" s="56"/>
      <c r="Z340" s="56"/>
    </row>
    <row r="341" spans="3:26" x14ac:dyDescent="0.7">
      <c r="C341" s="56"/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 t="str">
        <f t="shared" si="5"/>
        <v/>
      </c>
      <c r="Q341" s="56"/>
      <c r="R341" s="56"/>
      <c r="S341" s="56"/>
      <c r="T341" s="56"/>
      <c r="U341" s="56"/>
      <c r="V341" s="56"/>
      <c r="W341" s="56"/>
      <c r="X341" s="56"/>
      <c r="Y341" s="56"/>
      <c r="Z341" s="56"/>
    </row>
    <row r="342" spans="3:26" x14ac:dyDescent="0.7">
      <c r="C342" s="56"/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 t="str">
        <f t="shared" si="5"/>
        <v/>
      </c>
      <c r="Q342" s="56"/>
      <c r="R342" s="56"/>
      <c r="S342" s="56"/>
      <c r="T342" s="56"/>
      <c r="U342" s="56"/>
      <c r="V342" s="56"/>
      <c r="W342" s="56"/>
      <c r="X342" s="56"/>
      <c r="Y342" s="56"/>
      <c r="Z342" s="56"/>
    </row>
    <row r="343" spans="3:26" x14ac:dyDescent="0.7">
      <c r="C343" s="56"/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 t="str">
        <f t="shared" si="5"/>
        <v/>
      </c>
      <c r="Q343" s="56"/>
      <c r="R343" s="56"/>
      <c r="S343" s="56"/>
      <c r="T343" s="56"/>
      <c r="U343" s="56"/>
      <c r="V343" s="56"/>
      <c r="W343" s="56"/>
      <c r="X343" s="56"/>
      <c r="Y343" s="56"/>
      <c r="Z343" s="56"/>
    </row>
    <row r="344" spans="3:26" x14ac:dyDescent="0.7">
      <c r="C344" s="56"/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 t="str">
        <f t="shared" si="5"/>
        <v/>
      </c>
      <c r="Q344" s="56"/>
      <c r="R344" s="56"/>
      <c r="S344" s="56"/>
      <c r="T344" s="56"/>
      <c r="U344" s="56"/>
      <c r="V344" s="56"/>
      <c r="W344" s="56"/>
      <c r="X344" s="56"/>
      <c r="Y344" s="56"/>
      <c r="Z344" s="56"/>
    </row>
    <row r="345" spans="3:26" x14ac:dyDescent="0.7">
      <c r="C345" s="56"/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 t="str">
        <f t="shared" si="5"/>
        <v/>
      </c>
      <c r="Q345" s="56"/>
      <c r="R345" s="56"/>
      <c r="S345" s="56"/>
      <c r="T345" s="56"/>
      <c r="U345" s="56"/>
      <c r="V345" s="56"/>
      <c r="W345" s="56"/>
      <c r="X345" s="56"/>
      <c r="Y345" s="56"/>
      <c r="Z345" s="56"/>
    </row>
    <row r="346" spans="3:26" x14ac:dyDescent="0.7">
      <c r="C346" s="56"/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 t="str">
        <f t="shared" si="5"/>
        <v/>
      </c>
      <c r="Q346" s="56"/>
      <c r="R346" s="56"/>
      <c r="S346" s="56"/>
      <c r="T346" s="56"/>
      <c r="U346" s="56"/>
      <c r="V346" s="56"/>
      <c r="W346" s="56"/>
      <c r="X346" s="56"/>
      <c r="Y346" s="56"/>
      <c r="Z346" s="56"/>
    </row>
    <row r="347" spans="3:26" x14ac:dyDescent="0.7">
      <c r="C347" s="56"/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 t="str">
        <f t="shared" si="5"/>
        <v/>
      </c>
      <c r="Q347" s="56"/>
      <c r="R347" s="56"/>
      <c r="S347" s="56"/>
      <c r="T347" s="56"/>
      <c r="U347" s="56"/>
      <c r="V347" s="56"/>
      <c r="W347" s="56"/>
      <c r="X347" s="56"/>
      <c r="Y347" s="56"/>
      <c r="Z347" s="56"/>
    </row>
    <row r="348" spans="3:26" x14ac:dyDescent="0.7">
      <c r="C348" s="56"/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 t="str">
        <f t="shared" si="5"/>
        <v/>
      </c>
      <c r="Q348" s="56"/>
      <c r="R348" s="56"/>
      <c r="S348" s="56"/>
      <c r="T348" s="56"/>
      <c r="U348" s="56"/>
      <c r="V348" s="56"/>
      <c r="W348" s="56"/>
      <c r="X348" s="56"/>
      <c r="Y348" s="56"/>
      <c r="Z348" s="56"/>
    </row>
    <row r="349" spans="3:26" x14ac:dyDescent="0.7">
      <c r="C349" s="56"/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 t="str">
        <f t="shared" si="5"/>
        <v/>
      </c>
      <c r="Q349" s="56"/>
      <c r="R349" s="56"/>
      <c r="S349" s="56"/>
      <c r="T349" s="56"/>
      <c r="U349" s="56"/>
      <c r="V349" s="56"/>
      <c r="W349" s="56"/>
      <c r="X349" s="56"/>
      <c r="Y349" s="56"/>
      <c r="Z349" s="56"/>
    </row>
    <row r="350" spans="3:26" x14ac:dyDescent="0.7">
      <c r="C350" s="56"/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 t="str">
        <f t="shared" si="5"/>
        <v/>
      </c>
      <c r="Q350" s="56"/>
      <c r="R350" s="56"/>
      <c r="S350" s="56"/>
      <c r="T350" s="56"/>
      <c r="U350" s="56"/>
      <c r="V350" s="56"/>
      <c r="W350" s="56"/>
      <c r="X350" s="56"/>
      <c r="Y350" s="56"/>
      <c r="Z350" s="56"/>
    </row>
    <row r="351" spans="3:26" x14ac:dyDescent="0.7">
      <c r="C351" s="56"/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 t="str">
        <f t="shared" si="5"/>
        <v/>
      </c>
      <c r="Q351" s="56"/>
      <c r="R351" s="56"/>
      <c r="S351" s="56"/>
      <c r="T351" s="56"/>
      <c r="U351" s="56"/>
      <c r="V351" s="56"/>
      <c r="W351" s="56"/>
      <c r="X351" s="56"/>
      <c r="Y351" s="56"/>
      <c r="Z351" s="56"/>
    </row>
    <row r="352" spans="3:26" x14ac:dyDescent="0.7">
      <c r="C352" s="56"/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 t="str">
        <f t="shared" si="5"/>
        <v/>
      </c>
      <c r="Q352" s="56"/>
      <c r="R352" s="56"/>
      <c r="S352" s="56"/>
      <c r="T352" s="56"/>
      <c r="U352" s="56"/>
      <c r="V352" s="56"/>
      <c r="W352" s="56"/>
      <c r="X352" s="56"/>
      <c r="Y352" s="56"/>
      <c r="Z352" s="56"/>
    </row>
    <row r="353" spans="3:26" x14ac:dyDescent="0.7">
      <c r="C353" s="56"/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 t="str">
        <f t="shared" si="5"/>
        <v/>
      </c>
      <c r="Q353" s="56"/>
      <c r="R353" s="56"/>
      <c r="S353" s="56"/>
      <c r="T353" s="56"/>
      <c r="U353" s="56"/>
      <c r="V353" s="56"/>
      <c r="W353" s="56"/>
      <c r="X353" s="56"/>
      <c r="Y353" s="56"/>
      <c r="Z353" s="56"/>
    </row>
    <row r="354" spans="3:26" x14ac:dyDescent="0.7">
      <c r="C354" s="56"/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 t="str">
        <f t="shared" si="5"/>
        <v/>
      </c>
      <c r="Q354" s="56"/>
      <c r="R354" s="56"/>
      <c r="S354" s="56"/>
      <c r="T354" s="56"/>
      <c r="U354" s="56"/>
      <c r="V354" s="56"/>
      <c r="W354" s="56"/>
      <c r="X354" s="56"/>
      <c r="Y354" s="56"/>
      <c r="Z354" s="56"/>
    </row>
    <row r="355" spans="3:26" x14ac:dyDescent="0.7">
      <c r="C355" s="56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 t="str">
        <f t="shared" si="5"/>
        <v/>
      </c>
      <c r="Q355" s="56"/>
      <c r="R355" s="56"/>
      <c r="S355" s="56"/>
      <c r="T355" s="56"/>
      <c r="U355" s="56"/>
      <c r="V355" s="56"/>
      <c r="W355" s="56"/>
      <c r="X355" s="56"/>
      <c r="Y355" s="56"/>
      <c r="Z355" s="56"/>
    </row>
    <row r="356" spans="3:26" x14ac:dyDescent="0.7">
      <c r="C356" s="56"/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 t="str">
        <f t="shared" si="5"/>
        <v/>
      </c>
      <c r="Q356" s="56"/>
      <c r="R356" s="56"/>
      <c r="S356" s="56"/>
      <c r="T356" s="56"/>
      <c r="U356" s="56"/>
      <c r="V356" s="56"/>
      <c r="W356" s="56"/>
      <c r="X356" s="56"/>
      <c r="Y356" s="56"/>
      <c r="Z356" s="56"/>
    </row>
    <row r="357" spans="3:26" x14ac:dyDescent="0.7">
      <c r="C357" s="56"/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 t="str">
        <f t="shared" si="5"/>
        <v/>
      </c>
      <c r="Q357" s="56"/>
      <c r="R357" s="56"/>
      <c r="S357" s="56"/>
      <c r="T357" s="56"/>
      <c r="U357" s="56"/>
      <c r="V357" s="56"/>
      <c r="W357" s="56"/>
      <c r="X357" s="56"/>
      <c r="Y357" s="56"/>
      <c r="Z357" s="56"/>
    </row>
    <row r="358" spans="3:26" x14ac:dyDescent="0.7">
      <c r="C358" s="56"/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 t="str">
        <f t="shared" si="5"/>
        <v/>
      </c>
      <c r="Q358" s="56"/>
      <c r="R358" s="56"/>
      <c r="S358" s="56"/>
      <c r="T358" s="56"/>
      <c r="U358" s="56"/>
      <c r="V358" s="56"/>
      <c r="W358" s="56"/>
      <c r="X358" s="56"/>
      <c r="Y358" s="56"/>
      <c r="Z358" s="56"/>
    </row>
    <row r="359" spans="3:26" x14ac:dyDescent="0.7">
      <c r="C359" s="56"/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 t="str">
        <f t="shared" si="5"/>
        <v/>
      </c>
      <c r="Q359" s="56"/>
      <c r="R359" s="56"/>
      <c r="S359" s="56"/>
      <c r="T359" s="56"/>
      <c r="U359" s="56"/>
      <c r="V359" s="56"/>
      <c r="W359" s="56"/>
      <c r="X359" s="56"/>
      <c r="Y359" s="56"/>
      <c r="Z359" s="56"/>
    </row>
    <row r="360" spans="3:26" x14ac:dyDescent="0.7">
      <c r="C360" s="56"/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 t="str">
        <f t="shared" si="5"/>
        <v/>
      </c>
      <c r="Q360" s="56"/>
      <c r="R360" s="56"/>
      <c r="S360" s="56"/>
      <c r="T360" s="56"/>
      <c r="U360" s="56"/>
      <c r="V360" s="56"/>
      <c r="W360" s="56"/>
      <c r="X360" s="56"/>
      <c r="Y360" s="56"/>
      <c r="Z360" s="56"/>
    </row>
    <row r="361" spans="3:26" x14ac:dyDescent="0.7">
      <c r="C361" s="56"/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 t="str">
        <f t="shared" si="5"/>
        <v/>
      </c>
      <c r="Q361" s="56"/>
      <c r="R361" s="56"/>
      <c r="S361" s="56"/>
      <c r="T361" s="56"/>
      <c r="U361" s="56"/>
      <c r="V361" s="56"/>
      <c r="W361" s="56"/>
      <c r="X361" s="56"/>
      <c r="Y361" s="56"/>
      <c r="Z361" s="56"/>
    </row>
    <row r="362" spans="3:26" x14ac:dyDescent="0.7">
      <c r="C362" s="56"/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 t="str">
        <f t="shared" si="5"/>
        <v/>
      </c>
      <c r="Q362" s="56"/>
      <c r="R362" s="56"/>
      <c r="S362" s="56"/>
      <c r="T362" s="56"/>
      <c r="U362" s="56"/>
      <c r="V362" s="56"/>
      <c r="W362" s="56"/>
      <c r="X362" s="56"/>
      <c r="Y362" s="56"/>
      <c r="Z362" s="56"/>
    </row>
    <row r="363" spans="3:26" x14ac:dyDescent="0.7">
      <c r="C363" s="56"/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 t="str">
        <f t="shared" si="5"/>
        <v/>
      </c>
      <c r="Q363" s="56"/>
      <c r="R363" s="56"/>
      <c r="S363" s="56"/>
      <c r="T363" s="56"/>
      <c r="U363" s="56"/>
      <c r="V363" s="56"/>
      <c r="W363" s="56"/>
      <c r="X363" s="56"/>
      <c r="Y363" s="56"/>
      <c r="Z363" s="56"/>
    </row>
    <row r="364" spans="3:26" x14ac:dyDescent="0.7"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 t="str">
        <f t="shared" si="5"/>
        <v/>
      </c>
      <c r="Q364" s="56"/>
      <c r="R364" s="56"/>
      <c r="S364" s="56"/>
      <c r="T364" s="56"/>
      <c r="U364" s="56"/>
      <c r="V364" s="56"/>
      <c r="W364" s="56"/>
      <c r="X364" s="56"/>
      <c r="Y364" s="56"/>
      <c r="Z364" s="56"/>
    </row>
    <row r="365" spans="3:26" x14ac:dyDescent="0.7"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 t="str">
        <f t="shared" si="5"/>
        <v/>
      </c>
      <c r="Q365" s="56"/>
      <c r="R365" s="56"/>
      <c r="S365" s="56"/>
      <c r="T365" s="56"/>
      <c r="U365" s="56"/>
      <c r="V365" s="56"/>
      <c r="W365" s="56"/>
      <c r="X365" s="56"/>
      <c r="Y365" s="56"/>
      <c r="Z365" s="56"/>
    </row>
    <row r="366" spans="3:26" x14ac:dyDescent="0.7"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 t="str">
        <f t="shared" si="5"/>
        <v/>
      </c>
      <c r="Q366" s="56"/>
      <c r="R366" s="56"/>
      <c r="S366" s="56"/>
      <c r="T366" s="56"/>
      <c r="U366" s="56"/>
      <c r="V366" s="56"/>
      <c r="W366" s="56"/>
      <c r="X366" s="56"/>
      <c r="Y366" s="56"/>
      <c r="Z366" s="56"/>
    </row>
    <row r="367" spans="3:26" x14ac:dyDescent="0.7">
      <c r="C367" s="56"/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 t="str">
        <f t="shared" si="5"/>
        <v/>
      </c>
      <c r="Q367" s="56"/>
      <c r="R367" s="56"/>
      <c r="S367" s="56"/>
      <c r="T367" s="56"/>
      <c r="U367" s="56"/>
      <c r="V367" s="56"/>
      <c r="W367" s="56"/>
      <c r="X367" s="56"/>
      <c r="Y367" s="56"/>
      <c r="Z367" s="56"/>
    </row>
    <row r="368" spans="3:26" x14ac:dyDescent="0.7">
      <c r="C368" s="56"/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 t="str">
        <f t="shared" si="5"/>
        <v/>
      </c>
      <c r="Q368" s="56"/>
      <c r="R368" s="56"/>
      <c r="S368" s="56"/>
      <c r="T368" s="56"/>
      <c r="U368" s="56"/>
      <c r="V368" s="56"/>
      <c r="W368" s="56"/>
      <c r="X368" s="56"/>
      <c r="Y368" s="56"/>
      <c r="Z368" s="56"/>
    </row>
    <row r="369" spans="3:26" x14ac:dyDescent="0.7">
      <c r="C369" s="56"/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 t="str">
        <f t="shared" si="5"/>
        <v/>
      </c>
      <c r="Q369" s="56"/>
      <c r="R369" s="56"/>
      <c r="S369" s="56"/>
      <c r="T369" s="56"/>
      <c r="U369" s="56"/>
      <c r="V369" s="56"/>
      <c r="W369" s="56"/>
      <c r="X369" s="56"/>
      <c r="Y369" s="56"/>
      <c r="Z369" s="56"/>
    </row>
    <row r="370" spans="3:26" x14ac:dyDescent="0.7">
      <c r="C370" s="56"/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 t="str">
        <f t="shared" si="5"/>
        <v/>
      </c>
      <c r="Q370" s="56"/>
      <c r="R370" s="56"/>
      <c r="S370" s="56"/>
      <c r="T370" s="56"/>
      <c r="U370" s="56"/>
      <c r="V370" s="56"/>
      <c r="W370" s="56"/>
      <c r="X370" s="56"/>
      <c r="Y370" s="56"/>
      <c r="Z370" s="56"/>
    </row>
    <row r="371" spans="3:26" x14ac:dyDescent="0.7">
      <c r="C371" s="56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 t="str">
        <f t="shared" si="5"/>
        <v/>
      </c>
      <c r="Q371" s="56"/>
      <c r="R371" s="56"/>
      <c r="S371" s="56"/>
      <c r="T371" s="56"/>
      <c r="U371" s="56"/>
      <c r="V371" s="56"/>
      <c r="W371" s="56"/>
      <c r="X371" s="56"/>
      <c r="Y371" s="56"/>
      <c r="Z371" s="56"/>
    </row>
    <row r="372" spans="3:26" x14ac:dyDescent="0.7">
      <c r="C372" s="56"/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 t="str">
        <f t="shared" si="5"/>
        <v/>
      </c>
      <c r="Q372" s="56"/>
      <c r="R372" s="56"/>
      <c r="S372" s="56"/>
      <c r="T372" s="56"/>
      <c r="U372" s="56"/>
      <c r="V372" s="56"/>
      <c r="W372" s="56"/>
      <c r="X372" s="56"/>
      <c r="Y372" s="56"/>
      <c r="Z372" s="56"/>
    </row>
    <row r="373" spans="3:26" x14ac:dyDescent="0.7">
      <c r="C373" s="56"/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 t="str">
        <f t="shared" si="5"/>
        <v/>
      </c>
      <c r="Q373" s="56"/>
      <c r="R373" s="56"/>
      <c r="S373" s="56"/>
      <c r="T373" s="56"/>
      <c r="U373" s="56"/>
      <c r="V373" s="56"/>
      <c r="W373" s="56"/>
      <c r="X373" s="56"/>
      <c r="Y373" s="56"/>
      <c r="Z373" s="56"/>
    </row>
    <row r="374" spans="3:26" x14ac:dyDescent="0.7">
      <c r="C374" s="56"/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 t="str">
        <f t="shared" si="5"/>
        <v/>
      </c>
      <c r="Q374" s="56"/>
      <c r="R374" s="56"/>
      <c r="S374" s="56"/>
      <c r="T374" s="56"/>
      <c r="U374" s="56"/>
      <c r="V374" s="56"/>
      <c r="W374" s="56"/>
      <c r="X374" s="56"/>
      <c r="Y374" s="56"/>
      <c r="Z374" s="56"/>
    </row>
    <row r="375" spans="3:26" x14ac:dyDescent="0.7">
      <c r="C375" s="56"/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 t="str">
        <f t="shared" si="5"/>
        <v/>
      </c>
      <c r="Q375" s="56"/>
      <c r="R375" s="56"/>
      <c r="S375" s="56"/>
      <c r="T375" s="56"/>
      <c r="U375" s="56"/>
      <c r="V375" s="56"/>
      <c r="W375" s="56"/>
      <c r="X375" s="56"/>
      <c r="Y375" s="56"/>
      <c r="Z375" s="56"/>
    </row>
    <row r="376" spans="3:26" x14ac:dyDescent="0.7">
      <c r="C376" s="56"/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 t="str">
        <f t="shared" si="5"/>
        <v/>
      </c>
      <c r="Q376" s="56"/>
      <c r="R376" s="56"/>
      <c r="S376" s="56"/>
      <c r="T376" s="56"/>
      <c r="U376" s="56"/>
      <c r="V376" s="56"/>
      <c r="W376" s="56"/>
      <c r="X376" s="56"/>
      <c r="Y376" s="56"/>
      <c r="Z376" s="56"/>
    </row>
    <row r="377" spans="3:26" x14ac:dyDescent="0.7">
      <c r="C377" s="56"/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 t="str">
        <f t="shared" si="5"/>
        <v/>
      </c>
      <c r="Q377" s="56"/>
      <c r="R377" s="56"/>
      <c r="S377" s="56"/>
      <c r="T377" s="56"/>
      <c r="U377" s="56"/>
      <c r="V377" s="56"/>
      <c r="W377" s="56"/>
      <c r="X377" s="56"/>
      <c r="Y377" s="56"/>
      <c r="Z377" s="56"/>
    </row>
    <row r="378" spans="3:26" x14ac:dyDescent="0.7">
      <c r="C378" s="56"/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 t="str">
        <f t="shared" si="5"/>
        <v/>
      </c>
      <c r="Q378" s="56"/>
      <c r="R378" s="56"/>
      <c r="S378" s="56"/>
      <c r="T378" s="56"/>
      <c r="U378" s="56"/>
      <c r="V378" s="56"/>
      <c r="W378" s="56"/>
      <c r="X378" s="56"/>
      <c r="Y378" s="56"/>
      <c r="Z378" s="56"/>
    </row>
    <row r="379" spans="3:26" x14ac:dyDescent="0.7">
      <c r="C379" s="56"/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 t="str">
        <f t="shared" si="5"/>
        <v/>
      </c>
      <c r="Q379" s="56"/>
      <c r="R379" s="56"/>
      <c r="S379" s="56"/>
      <c r="T379" s="56"/>
      <c r="U379" s="56"/>
      <c r="V379" s="56"/>
      <c r="W379" s="56"/>
      <c r="X379" s="56"/>
      <c r="Y379" s="56"/>
      <c r="Z379" s="56"/>
    </row>
    <row r="380" spans="3:26" x14ac:dyDescent="0.7">
      <c r="C380" s="56"/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 t="str">
        <f t="shared" si="5"/>
        <v/>
      </c>
      <c r="Q380" s="56"/>
      <c r="R380" s="56"/>
      <c r="S380" s="56"/>
      <c r="T380" s="56"/>
      <c r="U380" s="56"/>
      <c r="V380" s="56"/>
      <c r="W380" s="56"/>
      <c r="X380" s="56"/>
      <c r="Y380" s="56"/>
      <c r="Z380" s="56"/>
    </row>
    <row r="381" spans="3:26" x14ac:dyDescent="0.7">
      <c r="C381" s="56"/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 t="str">
        <f t="shared" si="5"/>
        <v/>
      </c>
      <c r="Q381" s="56"/>
      <c r="R381" s="56"/>
      <c r="S381" s="56"/>
      <c r="T381" s="56"/>
      <c r="U381" s="56"/>
      <c r="V381" s="56"/>
      <c r="W381" s="56"/>
      <c r="X381" s="56"/>
      <c r="Y381" s="56"/>
      <c r="Z381" s="56"/>
    </row>
    <row r="382" spans="3:26" x14ac:dyDescent="0.7">
      <c r="C382" s="56"/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 t="str">
        <f t="shared" si="5"/>
        <v/>
      </c>
      <c r="Q382" s="56"/>
      <c r="R382" s="56"/>
      <c r="S382" s="56"/>
      <c r="T382" s="56"/>
      <c r="U382" s="56"/>
      <c r="V382" s="56"/>
      <c r="W382" s="56"/>
      <c r="X382" s="56"/>
      <c r="Y382" s="56"/>
      <c r="Z382" s="56"/>
    </row>
    <row r="383" spans="3:26" x14ac:dyDescent="0.7">
      <c r="C383" s="56"/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 t="str">
        <f t="shared" si="5"/>
        <v/>
      </c>
      <c r="Q383" s="56"/>
      <c r="R383" s="56"/>
      <c r="S383" s="56"/>
      <c r="T383" s="56"/>
      <c r="U383" s="56"/>
      <c r="V383" s="56"/>
      <c r="W383" s="56"/>
      <c r="X383" s="56"/>
      <c r="Y383" s="56"/>
      <c r="Z383" s="56"/>
    </row>
    <row r="384" spans="3:26" x14ac:dyDescent="0.7">
      <c r="C384" s="56"/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 t="str">
        <f t="shared" si="5"/>
        <v/>
      </c>
      <c r="Q384" s="56"/>
      <c r="R384" s="56"/>
      <c r="S384" s="56"/>
      <c r="T384" s="56"/>
      <c r="U384" s="56"/>
      <c r="V384" s="56"/>
      <c r="W384" s="56"/>
      <c r="X384" s="56"/>
      <c r="Y384" s="56"/>
      <c r="Z384" s="56"/>
    </row>
    <row r="385" spans="3:26" x14ac:dyDescent="0.7">
      <c r="C385" s="56"/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 t="str">
        <f t="shared" si="5"/>
        <v/>
      </c>
      <c r="Q385" s="56"/>
      <c r="R385" s="56"/>
      <c r="S385" s="56"/>
      <c r="T385" s="56"/>
      <c r="U385" s="56"/>
      <c r="V385" s="56"/>
      <c r="W385" s="56"/>
      <c r="X385" s="56"/>
      <c r="Y385" s="56"/>
      <c r="Z385" s="56"/>
    </row>
    <row r="386" spans="3:26" x14ac:dyDescent="0.7">
      <c r="C386" s="56"/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 t="str">
        <f t="shared" si="5"/>
        <v/>
      </c>
      <c r="Q386" s="56"/>
      <c r="R386" s="56"/>
      <c r="S386" s="56"/>
      <c r="T386" s="56"/>
      <c r="U386" s="56"/>
      <c r="V386" s="56"/>
      <c r="W386" s="56"/>
      <c r="X386" s="56"/>
      <c r="Y386" s="56"/>
      <c r="Z386" s="56"/>
    </row>
    <row r="387" spans="3:26" x14ac:dyDescent="0.7">
      <c r="C387" s="56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 t="str">
        <f t="shared" si="5"/>
        <v/>
      </c>
      <c r="Q387" s="56"/>
      <c r="R387" s="56"/>
      <c r="S387" s="56"/>
      <c r="T387" s="56"/>
      <c r="U387" s="56"/>
      <c r="V387" s="56"/>
      <c r="W387" s="56"/>
      <c r="X387" s="56"/>
      <c r="Y387" s="56"/>
      <c r="Z387" s="56"/>
    </row>
    <row r="388" spans="3:26" x14ac:dyDescent="0.7">
      <c r="P388" s="4" t="str">
        <f t="shared" si="5"/>
        <v/>
      </c>
    </row>
    <row r="389" spans="3:26" x14ac:dyDescent="0.7">
      <c r="P389" s="4" t="str">
        <f t="shared" si="5"/>
        <v/>
      </c>
    </row>
    <row r="390" spans="3:26" x14ac:dyDescent="0.7">
      <c r="P390" s="4" t="str">
        <f t="shared" si="5"/>
        <v/>
      </c>
    </row>
    <row r="391" spans="3:26" x14ac:dyDescent="0.7">
      <c r="P391" s="4" t="str">
        <f t="shared" ref="P391:P454" si="6">IF(I391="","",SUMIFS(OrderItems_Qty,OrderItems_Type,"PURCHASE",OrderItems_SKU,I391)-SUMIFS(OrderItems_Qty,OrderItems_Type,"SALE",OrderItems_SKU,I391))</f>
        <v/>
      </c>
    </row>
    <row r="392" spans="3:26" x14ac:dyDescent="0.7">
      <c r="P392" s="4" t="str">
        <f t="shared" si="6"/>
        <v/>
      </c>
    </row>
    <row r="393" spans="3:26" x14ac:dyDescent="0.7">
      <c r="P393" s="4" t="str">
        <f t="shared" si="6"/>
        <v/>
      </c>
    </row>
    <row r="394" spans="3:26" x14ac:dyDescent="0.7">
      <c r="P394" s="4" t="str">
        <f t="shared" si="6"/>
        <v/>
      </c>
    </row>
    <row r="395" spans="3:26" x14ac:dyDescent="0.7">
      <c r="P395" s="4" t="str">
        <f t="shared" si="6"/>
        <v/>
      </c>
    </row>
    <row r="396" spans="3:26" x14ac:dyDescent="0.7">
      <c r="P396" s="4" t="str">
        <f t="shared" si="6"/>
        <v/>
      </c>
    </row>
    <row r="397" spans="3:26" x14ac:dyDescent="0.7">
      <c r="P397" s="4" t="str">
        <f t="shared" si="6"/>
        <v/>
      </c>
    </row>
    <row r="398" spans="3:26" x14ac:dyDescent="0.7">
      <c r="P398" s="4" t="str">
        <f t="shared" si="6"/>
        <v/>
      </c>
    </row>
    <row r="399" spans="3:26" x14ac:dyDescent="0.7">
      <c r="P399" s="4" t="str">
        <f t="shared" si="6"/>
        <v/>
      </c>
    </row>
    <row r="400" spans="3:26" x14ac:dyDescent="0.7">
      <c r="P400" s="4" t="str">
        <f t="shared" si="6"/>
        <v/>
      </c>
    </row>
    <row r="401" spans="16:16" x14ac:dyDescent="0.7">
      <c r="P401" s="4" t="str">
        <f t="shared" si="6"/>
        <v/>
      </c>
    </row>
    <row r="402" spans="16:16" x14ac:dyDescent="0.7">
      <c r="P402" s="4" t="str">
        <f t="shared" si="6"/>
        <v/>
      </c>
    </row>
    <row r="403" spans="16:16" x14ac:dyDescent="0.7">
      <c r="P403" s="4" t="str">
        <f t="shared" si="6"/>
        <v/>
      </c>
    </row>
    <row r="404" spans="16:16" x14ac:dyDescent="0.7">
      <c r="P404" s="4" t="str">
        <f t="shared" si="6"/>
        <v/>
      </c>
    </row>
    <row r="405" spans="16:16" x14ac:dyDescent="0.7">
      <c r="P405" s="4" t="str">
        <f t="shared" si="6"/>
        <v/>
      </c>
    </row>
    <row r="406" spans="16:16" x14ac:dyDescent="0.7">
      <c r="P406" s="4" t="str">
        <f t="shared" si="6"/>
        <v/>
      </c>
    </row>
    <row r="407" spans="16:16" x14ac:dyDescent="0.7">
      <c r="P407" s="4" t="str">
        <f t="shared" si="6"/>
        <v/>
      </c>
    </row>
    <row r="408" spans="16:16" x14ac:dyDescent="0.7">
      <c r="P408" s="4" t="str">
        <f t="shared" si="6"/>
        <v/>
      </c>
    </row>
    <row r="409" spans="16:16" x14ac:dyDescent="0.7">
      <c r="P409" s="4" t="str">
        <f t="shared" si="6"/>
        <v/>
      </c>
    </row>
    <row r="410" spans="16:16" x14ac:dyDescent="0.7">
      <c r="P410" s="4" t="str">
        <f t="shared" si="6"/>
        <v/>
      </c>
    </row>
    <row r="411" spans="16:16" x14ac:dyDescent="0.7">
      <c r="P411" s="4" t="str">
        <f t="shared" si="6"/>
        <v/>
      </c>
    </row>
    <row r="412" spans="16:16" x14ac:dyDescent="0.7">
      <c r="P412" s="4" t="str">
        <f t="shared" si="6"/>
        <v/>
      </c>
    </row>
    <row r="413" spans="16:16" x14ac:dyDescent="0.7">
      <c r="P413" s="4" t="str">
        <f t="shared" si="6"/>
        <v/>
      </c>
    </row>
    <row r="414" spans="16:16" x14ac:dyDescent="0.7">
      <c r="P414" s="4" t="str">
        <f t="shared" si="6"/>
        <v/>
      </c>
    </row>
    <row r="415" spans="16:16" x14ac:dyDescent="0.7">
      <c r="P415" s="4" t="str">
        <f t="shared" si="6"/>
        <v/>
      </c>
    </row>
    <row r="416" spans="16:16" x14ac:dyDescent="0.7">
      <c r="P416" s="4" t="str">
        <f t="shared" si="6"/>
        <v/>
      </c>
    </row>
    <row r="417" spans="16:16" x14ac:dyDescent="0.7">
      <c r="P417" s="4" t="str">
        <f t="shared" si="6"/>
        <v/>
      </c>
    </row>
    <row r="418" spans="16:16" x14ac:dyDescent="0.7">
      <c r="P418" s="4" t="str">
        <f t="shared" si="6"/>
        <v/>
      </c>
    </row>
    <row r="419" spans="16:16" x14ac:dyDescent="0.7">
      <c r="P419" s="4" t="str">
        <f t="shared" si="6"/>
        <v/>
      </c>
    </row>
    <row r="420" spans="16:16" x14ac:dyDescent="0.7">
      <c r="P420" s="4" t="str">
        <f t="shared" si="6"/>
        <v/>
      </c>
    </row>
    <row r="421" spans="16:16" x14ac:dyDescent="0.7">
      <c r="P421" s="4" t="str">
        <f t="shared" si="6"/>
        <v/>
      </c>
    </row>
    <row r="422" spans="16:16" x14ac:dyDescent="0.7">
      <c r="P422" s="4" t="str">
        <f t="shared" si="6"/>
        <v/>
      </c>
    </row>
    <row r="423" spans="16:16" x14ac:dyDescent="0.7">
      <c r="P423" s="4" t="str">
        <f t="shared" si="6"/>
        <v/>
      </c>
    </row>
    <row r="424" spans="16:16" x14ac:dyDescent="0.7">
      <c r="P424" s="4" t="str">
        <f t="shared" si="6"/>
        <v/>
      </c>
    </row>
    <row r="425" spans="16:16" x14ac:dyDescent="0.7">
      <c r="P425" s="4" t="str">
        <f t="shared" si="6"/>
        <v/>
      </c>
    </row>
    <row r="426" spans="16:16" x14ac:dyDescent="0.7">
      <c r="P426" s="4" t="str">
        <f t="shared" si="6"/>
        <v/>
      </c>
    </row>
    <row r="427" spans="16:16" x14ac:dyDescent="0.7">
      <c r="P427" s="4" t="str">
        <f t="shared" si="6"/>
        <v/>
      </c>
    </row>
    <row r="428" spans="16:16" x14ac:dyDescent="0.7">
      <c r="P428" s="4" t="str">
        <f t="shared" si="6"/>
        <v/>
      </c>
    </row>
    <row r="429" spans="16:16" x14ac:dyDescent="0.7">
      <c r="P429" s="4" t="str">
        <f t="shared" si="6"/>
        <v/>
      </c>
    </row>
    <row r="430" spans="16:16" x14ac:dyDescent="0.7">
      <c r="P430" s="4" t="str">
        <f t="shared" si="6"/>
        <v/>
      </c>
    </row>
    <row r="431" spans="16:16" x14ac:dyDescent="0.7">
      <c r="P431" s="4" t="str">
        <f t="shared" si="6"/>
        <v/>
      </c>
    </row>
    <row r="432" spans="16:16" x14ac:dyDescent="0.7">
      <c r="P432" s="4" t="str">
        <f t="shared" si="6"/>
        <v/>
      </c>
    </row>
    <row r="433" spans="16:16" x14ac:dyDescent="0.7">
      <c r="P433" s="4" t="str">
        <f t="shared" si="6"/>
        <v/>
      </c>
    </row>
    <row r="434" spans="16:16" x14ac:dyDescent="0.7">
      <c r="P434" s="4" t="str">
        <f t="shared" si="6"/>
        <v/>
      </c>
    </row>
    <row r="435" spans="16:16" x14ac:dyDescent="0.7">
      <c r="P435" s="4" t="str">
        <f t="shared" si="6"/>
        <v/>
      </c>
    </row>
    <row r="436" spans="16:16" x14ac:dyDescent="0.7">
      <c r="P436" s="4" t="str">
        <f t="shared" si="6"/>
        <v/>
      </c>
    </row>
    <row r="437" spans="16:16" x14ac:dyDescent="0.7">
      <c r="P437" s="4" t="str">
        <f t="shared" si="6"/>
        <v/>
      </c>
    </row>
    <row r="438" spans="16:16" x14ac:dyDescent="0.7">
      <c r="P438" s="4" t="str">
        <f t="shared" si="6"/>
        <v/>
      </c>
    </row>
    <row r="439" spans="16:16" x14ac:dyDescent="0.7">
      <c r="P439" s="4" t="str">
        <f t="shared" si="6"/>
        <v/>
      </c>
    </row>
    <row r="440" spans="16:16" x14ac:dyDescent="0.7">
      <c r="P440" s="4" t="str">
        <f t="shared" si="6"/>
        <v/>
      </c>
    </row>
    <row r="441" spans="16:16" x14ac:dyDescent="0.7">
      <c r="P441" s="4" t="str">
        <f t="shared" si="6"/>
        <v/>
      </c>
    </row>
    <row r="442" spans="16:16" x14ac:dyDescent="0.7">
      <c r="P442" s="4" t="str">
        <f t="shared" si="6"/>
        <v/>
      </c>
    </row>
    <row r="443" spans="16:16" x14ac:dyDescent="0.7">
      <c r="P443" s="4" t="str">
        <f t="shared" si="6"/>
        <v/>
      </c>
    </row>
    <row r="444" spans="16:16" x14ac:dyDescent="0.7">
      <c r="P444" s="4" t="str">
        <f t="shared" si="6"/>
        <v/>
      </c>
    </row>
    <row r="445" spans="16:16" x14ac:dyDescent="0.7">
      <c r="P445" s="4" t="str">
        <f t="shared" si="6"/>
        <v/>
      </c>
    </row>
    <row r="446" spans="16:16" x14ac:dyDescent="0.7">
      <c r="P446" s="4" t="str">
        <f t="shared" si="6"/>
        <v/>
      </c>
    </row>
    <row r="447" spans="16:16" x14ac:dyDescent="0.7">
      <c r="P447" s="4" t="str">
        <f t="shared" si="6"/>
        <v/>
      </c>
    </row>
    <row r="448" spans="16:16" x14ac:dyDescent="0.7">
      <c r="P448" s="4" t="str">
        <f t="shared" si="6"/>
        <v/>
      </c>
    </row>
    <row r="449" spans="16:16" x14ac:dyDescent="0.7">
      <c r="P449" s="4" t="str">
        <f t="shared" si="6"/>
        <v/>
      </c>
    </row>
    <row r="450" spans="16:16" x14ac:dyDescent="0.7">
      <c r="P450" s="4" t="str">
        <f t="shared" si="6"/>
        <v/>
      </c>
    </row>
    <row r="451" spans="16:16" x14ac:dyDescent="0.7">
      <c r="P451" s="4" t="str">
        <f t="shared" si="6"/>
        <v/>
      </c>
    </row>
    <row r="452" spans="16:16" x14ac:dyDescent="0.7">
      <c r="P452" s="4" t="str">
        <f t="shared" si="6"/>
        <v/>
      </c>
    </row>
    <row r="453" spans="16:16" x14ac:dyDescent="0.7">
      <c r="P453" s="4" t="str">
        <f t="shared" si="6"/>
        <v/>
      </c>
    </row>
    <row r="454" spans="16:16" x14ac:dyDescent="0.7">
      <c r="P454" s="4" t="str">
        <f t="shared" si="6"/>
        <v/>
      </c>
    </row>
    <row r="455" spans="16:16" x14ac:dyDescent="0.7">
      <c r="P455" s="4" t="str">
        <f t="shared" ref="P455:P518" si="7">IF(I455="","",SUMIFS(OrderItems_Qty,OrderItems_Type,"PURCHASE",OrderItems_SKU,I455)-SUMIFS(OrderItems_Qty,OrderItems_Type,"SALE",OrderItems_SKU,I455))</f>
        <v/>
      </c>
    </row>
    <row r="456" spans="16:16" x14ac:dyDescent="0.7">
      <c r="P456" s="4" t="str">
        <f t="shared" si="7"/>
        <v/>
      </c>
    </row>
    <row r="457" spans="16:16" x14ac:dyDescent="0.7">
      <c r="P457" s="4" t="str">
        <f t="shared" si="7"/>
        <v/>
      </c>
    </row>
    <row r="458" spans="16:16" x14ac:dyDescent="0.7">
      <c r="P458" s="4" t="str">
        <f t="shared" si="7"/>
        <v/>
      </c>
    </row>
    <row r="459" spans="16:16" x14ac:dyDescent="0.7">
      <c r="P459" s="4" t="str">
        <f t="shared" si="7"/>
        <v/>
      </c>
    </row>
    <row r="460" spans="16:16" x14ac:dyDescent="0.7">
      <c r="P460" s="4" t="str">
        <f t="shared" si="7"/>
        <v/>
      </c>
    </row>
    <row r="461" spans="16:16" x14ac:dyDescent="0.7">
      <c r="P461" s="4" t="str">
        <f t="shared" si="7"/>
        <v/>
      </c>
    </row>
    <row r="462" spans="16:16" x14ac:dyDescent="0.7">
      <c r="P462" s="4" t="str">
        <f t="shared" si="7"/>
        <v/>
      </c>
    </row>
    <row r="463" spans="16:16" x14ac:dyDescent="0.7">
      <c r="P463" s="4" t="str">
        <f t="shared" si="7"/>
        <v/>
      </c>
    </row>
    <row r="464" spans="16:16" x14ac:dyDescent="0.7">
      <c r="P464" s="4" t="str">
        <f t="shared" si="7"/>
        <v/>
      </c>
    </row>
    <row r="465" spans="16:16" x14ac:dyDescent="0.7">
      <c r="P465" s="4" t="str">
        <f t="shared" si="7"/>
        <v/>
      </c>
    </row>
    <row r="466" spans="16:16" x14ac:dyDescent="0.7">
      <c r="P466" s="4" t="str">
        <f t="shared" si="7"/>
        <v/>
      </c>
    </row>
    <row r="467" spans="16:16" x14ac:dyDescent="0.7">
      <c r="P467" s="4" t="str">
        <f t="shared" si="7"/>
        <v/>
      </c>
    </row>
    <row r="468" spans="16:16" x14ac:dyDescent="0.7">
      <c r="P468" s="4" t="str">
        <f t="shared" si="7"/>
        <v/>
      </c>
    </row>
    <row r="469" spans="16:16" x14ac:dyDescent="0.7">
      <c r="P469" s="4" t="str">
        <f t="shared" si="7"/>
        <v/>
      </c>
    </row>
    <row r="470" spans="16:16" x14ac:dyDescent="0.7">
      <c r="P470" s="4" t="str">
        <f t="shared" si="7"/>
        <v/>
      </c>
    </row>
    <row r="471" spans="16:16" x14ac:dyDescent="0.7">
      <c r="P471" s="4" t="str">
        <f t="shared" si="7"/>
        <v/>
      </c>
    </row>
    <row r="472" spans="16:16" x14ac:dyDescent="0.7">
      <c r="P472" s="4" t="str">
        <f t="shared" si="7"/>
        <v/>
      </c>
    </row>
    <row r="473" spans="16:16" x14ac:dyDescent="0.7">
      <c r="P473" s="4" t="str">
        <f t="shared" si="7"/>
        <v/>
      </c>
    </row>
    <row r="474" spans="16:16" x14ac:dyDescent="0.7">
      <c r="P474" s="4" t="str">
        <f t="shared" si="7"/>
        <v/>
      </c>
    </row>
    <row r="475" spans="16:16" x14ac:dyDescent="0.7">
      <c r="P475" s="4" t="str">
        <f t="shared" si="7"/>
        <v/>
      </c>
    </row>
    <row r="476" spans="16:16" x14ac:dyDescent="0.7">
      <c r="P476" s="4" t="str">
        <f t="shared" si="7"/>
        <v/>
      </c>
    </row>
    <row r="477" spans="16:16" x14ac:dyDescent="0.7">
      <c r="P477" s="4" t="str">
        <f t="shared" si="7"/>
        <v/>
      </c>
    </row>
    <row r="478" spans="16:16" x14ac:dyDescent="0.7">
      <c r="P478" s="4" t="str">
        <f t="shared" si="7"/>
        <v/>
      </c>
    </row>
    <row r="479" spans="16:16" x14ac:dyDescent="0.7">
      <c r="P479" s="4" t="str">
        <f t="shared" si="7"/>
        <v/>
      </c>
    </row>
    <row r="480" spans="16:16" x14ac:dyDescent="0.7">
      <c r="P480" s="4" t="str">
        <f t="shared" si="7"/>
        <v/>
      </c>
    </row>
    <row r="481" spans="16:16" x14ac:dyDescent="0.7">
      <c r="P481" s="4" t="str">
        <f t="shared" si="7"/>
        <v/>
      </c>
    </row>
    <row r="482" spans="16:16" x14ac:dyDescent="0.7">
      <c r="P482" s="4" t="str">
        <f t="shared" si="7"/>
        <v/>
      </c>
    </row>
    <row r="483" spans="16:16" x14ac:dyDescent="0.7">
      <c r="P483" s="4" t="str">
        <f t="shared" si="7"/>
        <v/>
      </c>
    </row>
    <row r="484" spans="16:16" x14ac:dyDescent="0.7">
      <c r="P484" s="4" t="str">
        <f t="shared" si="7"/>
        <v/>
      </c>
    </row>
    <row r="485" spans="16:16" x14ac:dyDescent="0.7">
      <c r="P485" s="4" t="str">
        <f t="shared" si="7"/>
        <v/>
      </c>
    </row>
    <row r="486" spans="16:16" x14ac:dyDescent="0.7">
      <c r="P486" s="4" t="str">
        <f t="shared" si="7"/>
        <v/>
      </c>
    </row>
    <row r="487" spans="16:16" x14ac:dyDescent="0.7">
      <c r="P487" s="4" t="str">
        <f t="shared" si="7"/>
        <v/>
      </c>
    </row>
    <row r="488" spans="16:16" x14ac:dyDescent="0.7">
      <c r="P488" s="4" t="str">
        <f t="shared" si="7"/>
        <v/>
      </c>
    </row>
    <row r="489" spans="16:16" x14ac:dyDescent="0.7">
      <c r="P489" s="4" t="str">
        <f t="shared" si="7"/>
        <v/>
      </c>
    </row>
    <row r="490" spans="16:16" x14ac:dyDescent="0.7">
      <c r="P490" s="4" t="str">
        <f t="shared" si="7"/>
        <v/>
      </c>
    </row>
    <row r="491" spans="16:16" x14ac:dyDescent="0.7">
      <c r="P491" s="4" t="str">
        <f t="shared" si="7"/>
        <v/>
      </c>
    </row>
    <row r="492" spans="16:16" x14ac:dyDescent="0.7">
      <c r="P492" s="4" t="str">
        <f t="shared" si="7"/>
        <v/>
      </c>
    </row>
    <row r="493" spans="16:16" x14ac:dyDescent="0.7">
      <c r="P493" s="4" t="str">
        <f t="shared" si="7"/>
        <v/>
      </c>
    </row>
    <row r="494" spans="16:16" x14ac:dyDescent="0.7">
      <c r="P494" s="4" t="str">
        <f t="shared" si="7"/>
        <v/>
      </c>
    </row>
    <row r="495" spans="16:16" x14ac:dyDescent="0.7">
      <c r="P495" s="4" t="str">
        <f t="shared" si="7"/>
        <v/>
      </c>
    </row>
    <row r="496" spans="16:16" x14ac:dyDescent="0.7">
      <c r="P496" s="4" t="str">
        <f t="shared" si="7"/>
        <v/>
      </c>
    </row>
    <row r="497" spans="16:16" x14ac:dyDescent="0.7">
      <c r="P497" s="4" t="str">
        <f t="shared" si="7"/>
        <v/>
      </c>
    </row>
    <row r="498" spans="16:16" x14ac:dyDescent="0.7">
      <c r="P498" s="4" t="str">
        <f t="shared" si="7"/>
        <v/>
      </c>
    </row>
    <row r="499" spans="16:16" x14ac:dyDescent="0.7">
      <c r="P499" s="4" t="str">
        <f t="shared" si="7"/>
        <v/>
      </c>
    </row>
    <row r="500" spans="16:16" x14ac:dyDescent="0.7">
      <c r="P500" s="4" t="str">
        <f t="shared" si="7"/>
        <v/>
      </c>
    </row>
    <row r="501" spans="16:16" x14ac:dyDescent="0.7">
      <c r="P501" s="4" t="str">
        <f t="shared" si="7"/>
        <v/>
      </c>
    </row>
    <row r="502" spans="16:16" x14ac:dyDescent="0.7">
      <c r="P502" s="4" t="str">
        <f t="shared" si="7"/>
        <v/>
      </c>
    </row>
    <row r="503" spans="16:16" x14ac:dyDescent="0.7">
      <c r="P503" s="4" t="str">
        <f t="shared" si="7"/>
        <v/>
      </c>
    </row>
    <row r="504" spans="16:16" x14ac:dyDescent="0.7">
      <c r="P504" s="4" t="str">
        <f t="shared" si="7"/>
        <v/>
      </c>
    </row>
    <row r="505" spans="16:16" x14ac:dyDescent="0.7">
      <c r="P505" s="4" t="str">
        <f t="shared" si="7"/>
        <v/>
      </c>
    </row>
    <row r="506" spans="16:16" x14ac:dyDescent="0.7">
      <c r="P506" s="4" t="str">
        <f t="shared" si="7"/>
        <v/>
      </c>
    </row>
    <row r="507" spans="16:16" x14ac:dyDescent="0.7">
      <c r="P507" s="4" t="str">
        <f t="shared" si="7"/>
        <v/>
      </c>
    </row>
    <row r="508" spans="16:16" x14ac:dyDescent="0.7">
      <c r="P508" s="4" t="str">
        <f t="shared" si="7"/>
        <v/>
      </c>
    </row>
    <row r="509" spans="16:16" x14ac:dyDescent="0.7">
      <c r="P509" s="4" t="str">
        <f t="shared" si="7"/>
        <v/>
      </c>
    </row>
    <row r="510" spans="16:16" x14ac:dyDescent="0.7">
      <c r="P510" s="4" t="str">
        <f t="shared" si="7"/>
        <v/>
      </c>
    </row>
    <row r="511" spans="16:16" x14ac:dyDescent="0.7">
      <c r="P511" s="4" t="str">
        <f t="shared" si="7"/>
        <v/>
      </c>
    </row>
    <row r="512" spans="16:16" x14ac:dyDescent="0.7">
      <c r="P512" s="4" t="str">
        <f t="shared" si="7"/>
        <v/>
      </c>
    </row>
    <row r="513" spans="16:16" x14ac:dyDescent="0.7">
      <c r="P513" s="4" t="str">
        <f t="shared" si="7"/>
        <v/>
      </c>
    </row>
    <row r="514" spans="16:16" x14ac:dyDescent="0.7">
      <c r="P514" s="4" t="str">
        <f t="shared" si="7"/>
        <v/>
      </c>
    </row>
    <row r="515" spans="16:16" x14ac:dyDescent="0.7">
      <c r="P515" s="4" t="str">
        <f t="shared" si="7"/>
        <v/>
      </c>
    </row>
    <row r="516" spans="16:16" x14ac:dyDescent="0.7">
      <c r="P516" s="4" t="str">
        <f t="shared" si="7"/>
        <v/>
      </c>
    </row>
    <row r="517" spans="16:16" x14ac:dyDescent="0.7">
      <c r="P517" s="4" t="str">
        <f t="shared" si="7"/>
        <v/>
      </c>
    </row>
    <row r="518" spans="16:16" x14ac:dyDescent="0.7">
      <c r="P518" s="4" t="str">
        <f t="shared" si="7"/>
        <v/>
      </c>
    </row>
    <row r="519" spans="16:16" x14ac:dyDescent="0.7">
      <c r="P519" s="4" t="str">
        <f t="shared" ref="P519:P582" si="8">IF(I519="","",SUMIFS(OrderItems_Qty,OrderItems_Type,"PURCHASE",OrderItems_SKU,I519)-SUMIFS(OrderItems_Qty,OrderItems_Type,"SALE",OrderItems_SKU,I519))</f>
        <v/>
      </c>
    </row>
    <row r="520" spans="16:16" x14ac:dyDescent="0.7">
      <c r="P520" s="4" t="str">
        <f t="shared" si="8"/>
        <v/>
      </c>
    </row>
    <row r="521" spans="16:16" x14ac:dyDescent="0.7">
      <c r="P521" s="4" t="str">
        <f t="shared" si="8"/>
        <v/>
      </c>
    </row>
    <row r="522" spans="16:16" x14ac:dyDescent="0.7">
      <c r="P522" s="4" t="str">
        <f t="shared" si="8"/>
        <v/>
      </c>
    </row>
    <row r="523" spans="16:16" x14ac:dyDescent="0.7">
      <c r="P523" s="4" t="str">
        <f t="shared" si="8"/>
        <v/>
      </c>
    </row>
    <row r="524" spans="16:16" x14ac:dyDescent="0.7">
      <c r="P524" s="4" t="str">
        <f t="shared" si="8"/>
        <v/>
      </c>
    </row>
    <row r="525" spans="16:16" x14ac:dyDescent="0.7">
      <c r="P525" s="4" t="str">
        <f t="shared" si="8"/>
        <v/>
      </c>
    </row>
    <row r="526" spans="16:16" x14ac:dyDescent="0.7">
      <c r="P526" s="4" t="str">
        <f t="shared" si="8"/>
        <v/>
      </c>
    </row>
    <row r="527" spans="16:16" x14ac:dyDescent="0.7">
      <c r="P527" s="4" t="str">
        <f t="shared" si="8"/>
        <v/>
      </c>
    </row>
    <row r="528" spans="16:16" x14ac:dyDescent="0.7">
      <c r="P528" s="4" t="str">
        <f t="shared" si="8"/>
        <v/>
      </c>
    </row>
    <row r="529" spans="16:16" x14ac:dyDescent="0.7">
      <c r="P529" s="4" t="str">
        <f t="shared" si="8"/>
        <v/>
      </c>
    </row>
    <row r="530" spans="16:16" x14ac:dyDescent="0.7">
      <c r="P530" s="4" t="str">
        <f t="shared" si="8"/>
        <v/>
      </c>
    </row>
    <row r="531" spans="16:16" x14ac:dyDescent="0.7">
      <c r="P531" s="4" t="str">
        <f t="shared" si="8"/>
        <v/>
      </c>
    </row>
    <row r="532" spans="16:16" x14ac:dyDescent="0.7">
      <c r="P532" s="4" t="str">
        <f t="shared" si="8"/>
        <v/>
      </c>
    </row>
    <row r="533" spans="16:16" x14ac:dyDescent="0.7">
      <c r="P533" s="4" t="str">
        <f t="shared" si="8"/>
        <v/>
      </c>
    </row>
    <row r="534" spans="16:16" x14ac:dyDescent="0.7">
      <c r="P534" s="4" t="str">
        <f t="shared" si="8"/>
        <v/>
      </c>
    </row>
    <row r="535" spans="16:16" x14ac:dyDescent="0.7">
      <c r="P535" s="4" t="str">
        <f t="shared" si="8"/>
        <v/>
      </c>
    </row>
    <row r="536" spans="16:16" x14ac:dyDescent="0.7">
      <c r="P536" s="4" t="str">
        <f t="shared" si="8"/>
        <v/>
      </c>
    </row>
    <row r="537" spans="16:16" x14ac:dyDescent="0.7">
      <c r="P537" s="4" t="str">
        <f t="shared" si="8"/>
        <v/>
      </c>
    </row>
    <row r="538" spans="16:16" x14ac:dyDescent="0.7">
      <c r="P538" s="4" t="str">
        <f t="shared" si="8"/>
        <v/>
      </c>
    </row>
    <row r="539" spans="16:16" x14ac:dyDescent="0.7">
      <c r="P539" s="4" t="str">
        <f t="shared" si="8"/>
        <v/>
      </c>
    </row>
    <row r="540" spans="16:16" x14ac:dyDescent="0.7">
      <c r="P540" s="4" t="str">
        <f t="shared" si="8"/>
        <v/>
      </c>
    </row>
    <row r="541" spans="16:16" x14ac:dyDescent="0.7">
      <c r="P541" s="4" t="str">
        <f t="shared" si="8"/>
        <v/>
      </c>
    </row>
    <row r="542" spans="16:16" x14ac:dyDescent="0.7">
      <c r="P542" s="4" t="str">
        <f t="shared" si="8"/>
        <v/>
      </c>
    </row>
    <row r="543" spans="16:16" x14ac:dyDescent="0.7">
      <c r="P543" s="4" t="str">
        <f t="shared" si="8"/>
        <v/>
      </c>
    </row>
    <row r="544" spans="16:16" x14ac:dyDescent="0.7">
      <c r="P544" s="4" t="str">
        <f t="shared" si="8"/>
        <v/>
      </c>
    </row>
    <row r="545" spans="16:16" x14ac:dyDescent="0.7">
      <c r="P545" s="4" t="str">
        <f t="shared" si="8"/>
        <v/>
      </c>
    </row>
    <row r="546" spans="16:16" x14ac:dyDescent="0.7">
      <c r="P546" s="4" t="str">
        <f t="shared" si="8"/>
        <v/>
      </c>
    </row>
    <row r="547" spans="16:16" x14ac:dyDescent="0.7">
      <c r="P547" s="4" t="str">
        <f t="shared" si="8"/>
        <v/>
      </c>
    </row>
    <row r="548" spans="16:16" x14ac:dyDescent="0.7">
      <c r="P548" s="4" t="str">
        <f t="shared" si="8"/>
        <v/>
      </c>
    </row>
    <row r="549" spans="16:16" x14ac:dyDescent="0.7">
      <c r="P549" s="4" t="str">
        <f t="shared" si="8"/>
        <v/>
      </c>
    </row>
    <row r="550" spans="16:16" x14ac:dyDescent="0.7">
      <c r="P550" s="4" t="str">
        <f t="shared" si="8"/>
        <v/>
      </c>
    </row>
    <row r="551" spans="16:16" x14ac:dyDescent="0.7">
      <c r="P551" s="4" t="str">
        <f t="shared" si="8"/>
        <v/>
      </c>
    </row>
    <row r="552" spans="16:16" x14ac:dyDescent="0.7">
      <c r="P552" s="4" t="str">
        <f t="shared" si="8"/>
        <v/>
      </c>
    </row>
    <row r="553" spans="16:16" x14ac:dyDescent="0.7">
      <c r="P553" s="4" t="str">
        <f t="shared" si="8"/>
        <v/>
      </c>
    </row>
    <row r="554" spans="16:16" x14ac:dyDescent="0.7">
      <c r="P554" s="4" t="str">
        <f t="shared" si="8"/>
        <v/>
      </c>
    </row>
    <row r="555" spans="16:16" x14ac:dyDescent="0.7">
      <c r="P555" s="4" t="str">
        <f t="shared" si="8"/>
        <v/>
      </c>
    </row>
    <row r="556" spans="16:16" x14ac:dyDescent="0.7">
      <c r="P556" s="4" t="str">
        <f t="shared" si="8"/>
        <v/>
      </c>
    </row>
    <row r="557" spans="16:16" x14ac:dyDescent="0.7">
      <c r="P557" s="4" t="str">
        <f t="shared" si="8"/>
        <v/>
      </c>
    </row>
    <row r="558" spans="16:16" x14ac:dyDescent="0.7">
      <c r="P558" s="4" t="str">
        <f t="shared" si="8"/>
        <v/>
      </c>
    </row>
    <row r="559" spans="16:16" x14ac:dyDescent="0.7">
      <c r="P559" s="4" t="str">
        <f t="shared" si="8"/>
        <v/>
      </c>
    </row>
    <row r="560" spans="16:16" x14ac:dyDescent="0.7">
      <c r="P560" s="4" t="str">
        <f t="shared" si="8"/>
        <v/>
      </c>
    </row>
    <row r="561" spans="16:16" x14ac:dyDescent="0.7">
      <c r="P561" s="4" t="str">
        <f t="shared" si="8"/>
        <v/>
      </c>
    </row>
    <row r="562" spans="16:16" x14ac:dyDescent="0.7">
      <c r="P562" s="4" t="str">
        <f t="shared" si="8"/>
        <v/>
      </c>
    </row>
    <row r="563" spans="16:16" x14ac:dyDescent="0.7">
      <c r="P563" s="4" t="str">
        <f t="shared" si="8"/>
        <v/>
      </c>
    </row>
    <row r="564" spans="16:16" x14ac:dyDescent="0.7">
      <c r="P564" s="4" t="str">
        <f t="shared" si="8"/>
        <v/>
      </c>
    </row>
    <row r="565" spans="16:16" x14ac:dyDescent="0.7">
      <c r="P565" s="4" t="str">
        <f t="shared" si="8"/>
        <v/>
      </c>
    </row>
    <row r="566" spans="16:16" x14ac:dyDescent="0.7">
      <c r="P566" s="4" t="str">
        <f t="shared" si="8"/>
        <v/>
      </c>
    </row>
    <row r="567" spans="16:16" x14ac:dyDescent="0.7">
      <c r="P567" s="4" t="str">
        <f t="shared" si="8"/>
        <v/>
      </c>
    </row>
    <row r="568" spans="16:16" x14ac:dyDescent="0.7">
      <c r="P568" s="4" t="str">
        <f t="shared" si="8"/>
        <v/>
      </c>
    </row>
    <row r="569" spans="16:16" x14ac:dyDescent="0.7">
      <c r="P569" s="4" t="str">
        <f t="shared" si="8"/>
        <v/>
      </c>
    </row>
    <row r="570" spans="16:16" x14ac:dyDescent="0.7">
      <c r="P570" s="4" t="str">
        <f t="shared" si="8"/>
        <v/>
      </c>
    </row>
    <row r="571" spans="16:16" x14ac:dyDescent="0.7">
      <c r="P571" s="4" t="str">
        <f t="shared" si="8"/>
        <v/>
      </c>
    </row>
    <row r="572" spans="16:16" x14ac:dyDescent="0.7">
      <c r="P572" s="4" t="str">
        <f t="shared" si="8"/>
        <v/>
      </c>
    </row>
    <row r="573" spans="16:16" x14ac:dyDescent="0.7">
      <c r="P573" s="4" t="str">
        <f t="shared" si="8"/>
        <v/>
      </c>
    </row>
    <row r="574" spans="16:16" x14ac:dyDescent="0.7">
      <c r="P574" s="4" t="str">
        <f t="shared" si="8"/>
        <v/>
      </c>
    </row>
    <row r="575" spans="16:16" x14ac:dyDescent="0.7">
      <c r="P575" s="4" t="str">
        <f t="shared" si="8"/>
        <v/>
      </c>
    </row>
    <row r="576" spans="16:16" x14ac:dyDescent="0.7">
      <c r="P576" s="4" t="str">
        <f t="shared" si="8"/>
        <v/>
      </c>
    </row>
    <row r="577" spans="16:16" x14ac:dyDescent="0.7">
      <c r="P577" s="4" t="str">
        <f t="shared" si="8"/>
        <v/>
      </c>
    </row>
    <row r="578" spans="16:16" x14ac:dyDescent="0.7">
      <c r="P578" s="4" t="str">
        <f t="shared" si="8"/>
        <v/>
      </c>
    </row>
    <row r="579" spans="16:16" x14ac:dyDescent="0.7">
      <c r="P579" s="4" t="str">
        <f t="shared" si="8"/>
        <v/>
      </c>
    </row>
    <row r="580" spans="16:16" x14ac:dyDescent="0.7">
      <c r="P580" s="4" t="str">
        <f t="shared" si="8"/>
        <v/>
      </c>
    </row>
    <row r="581" spans="16:16" x14ac:dyDescent="0.7">
      <c r="P581" s="4" t="str">
        <f t="shared" si="8"/>
        <v/>
      </c>
    </row>
    <row r="582" spans="16:16" x14ac:dyDescent="0.7">
      <c r="P582" s="4" t="str">
        <f t="shared" si="8"/>
        <v/>
      </c>
    </row>
    <row r="583" spans="16:16" x14ac:dyDescent="0.7">
      <c r="P583" s="4" t="str">
        <f t="shared" ref="P583:P646" si="9">IF(I583="","",SUMIFS(OrderItems_Qty,OrderItems_Type,"PURCHASE",OrderItems_SKU,I583)-SUMIFS(OrderItems_Qty,OrderItems_Type,"SALE",OrderItems_SKU,I583))</f>
        <v/>
      </c>
    </row>
    <row r="584" spans="16:16" x14ac:dyDescent="0.7">
      <c r="P584" s="4" t="str">
        <f t="shared" si="9"/>
        <v/>
      </c>
    </row>
    <row r="585" spans="16:16" x14ac:dyDescent="0.7">
      <c r="P585" s="4" t="str">
        <f t="shared" si="9"/>
        <v/>
      </c>
    </row>
    <row r="586" spans="16:16" x14ac:dyDescent="0.7">
      <c r="P586" s="4" t="str">
        <f t="shared" si="9"/>
        <v/>
      </c>
    </row>
    <row r="587" spans="16:16" x14ac:dyDescent="0.7">
      <c r="P587" s="4" t="str">
        <f t="shared" si="9"/>
        <v/>
      </c>
    </row>
    <row r="588" spans="16:16" x14ac:dyDescent="0.7">
      <c r="P588" s="4" t="str">
        <f t="shared" si="9"/>
        <v/>
      </c>
    </row>
    <row r="589" spans="16:16" x14ac:dyDescent="0.7">
      <c r="P589" s="4" t="str">
        <f t="shared" si="9"/>
        <v/>
      </c>
    </row>
    <row r="590" spans="16:16" x14ac:dyDescent="0.7">
      <c r="P590" s="4" t="str">
        <f t="shared" si="9"/>
        <v/>
      </c>
    </row>
    <row r="591" spans="16:16" x14ac:dyDescent="0.7">
      <c r="P591" s="4" t="str">
        <f t="shared" si="9"/>
        <v/>
      </c>
    </row>
    <row r="592" spans="16:16" x14ac:dyDescent="0.7">
      <c r="P592" s="4" t="str">
        <f t="shared" si="9"/>
        <v/>
      </c>
    </row>
    <row r="593" spans="16:16" x14ac:dyDescent="0.7">
      <c r="P593" s="4" t="str">
        <f t="shared" si="9"/>
        <v/>
      </c>
    </row>
    <row r="594" spans="16:16" x14ac:dyDescent="0.7">
      <c r="P594" s="4" t="str">
        <f t="shared" si="9"/>
        <v/>
      </c>
    </row>
    <row r="595" spans="16:16" x14ac:dyDescent="0.7">
      <c r="P595" s="4" t="str">
        <f t="shared" si="9"/>
        <v/>
      </c>
    </row>
    <row r="596" spans="16:16" x14ac:dyDescent="0.7">
      <c r="P596" s="4" t="str">
        <f t="shared" si="9"/>
        <v/>
      </c>
    </row>
    <row r="597" spans="16:16" x14ac:dyDescent="0.7">
      <c r="P597" s="4" t="str">
        <f t="shared" si="9"/>
        <v/>
      </c>
    </row>
    <row r="598" spans="16:16" x14ac:dyDescent="0.7">
      <c r="P598" s="4" t="str">
        <f t="shared" si="9"/>
        <v/>
      </c>
    </row>
    <row r="599" spans="16:16" x14ac:dyDescent="0.7">
      <c r="P599" s="4" t="str">
        <f t="shared" si="9"/>
        <v/>
      </c>
    </row>
    <row r="600" spans="16:16" x14ac:dyDescent="0.7">
      <c r="P600" s="4" t="str">
        <f t="shared" si="9"/>
        <v/>
      </c>
    </row>
    <row r="601" spans="16:16" x14ac:dyDescent="0.7">
      <c r="P601" s="4" t="str">
        <f t="shared" si="9"/>
        <v/>
      </c>
    </row>
    <row r="602" spans="16:16" x14ac:dyDescent="0.7">
      <c r="P602" s="4" t="str">
        <f t="shared" si="9"/>
        <v/>
      </c>
    </row>
    <row r="603" spans="16:16" x14ac:dyDescent="0.7">
      <c r="P603" s="4" t="str">
        <f t="shared" si="9"/>
        <v/>
      </c>
    </row>
    <row r="604" spans="16:16" x14ac:dyDescent="0.7">
      <c r="P604" s="4" t="str">
        <f t="shared" si="9"/>
        <v/>
      </c>
    </row>
    <row r="605" spans="16:16" x14ac:dyDescent="0.7">
      <c r="P605" s="4" t="str">
        <f t="shared" si="9"/>
        <v/>
      </c>
    </row>
    <row r="606" spans="16:16" x14ac:dyDescent="0.7">
      <c r="P606" s="4" t="str">
        <f t="shared" si="9"/>
        <v/>
      </c>
    </row>
    <row r="607" spans="16:16" x14ac:dyDescent="0.7">
      <c r="P607" s="4" t="str">
        <f t="shared" si="9"/>
        <v/>
      </c>
    </row>
    <row r="608" spans="16:16" x14ac:dyDescent="0.7">
      <c r="P608" s="4" t="str">
        <f t="shared" si="9"/>
        <v/>
      </c>
    </row>
    <row r="609" spans="16:16" x14ac:dyDescent="0.7">
      <c r="P609" s="4" t="str">
        <f t="shared" si="9"/>
        <v/>
      </c>
    </row>
    <row r="610" spans="16:16" x14ac:dyDescent="0.7">
      <c r="P610" s="4" t="str">
        <f t="shared" si="9"/>
        <v/>
      </c>
    </row>
    <row r="611" spans="16:16" x14ac:dyDescent="0.7">
      <c r="P611" s="4" t="str">
        <f t="shared" si="9"/>
        <v/>
      </c>
    </row>
    <row r="612" spans="16:16" x14ac:dyDescent="0.7">
      <c r="P612" s="4" t="str">
        <f t="shared" si="9"/>
        <v/>
      </c>
    </row>
    <row r="613" spans="16:16" x14ac:dyDescent="0.7">
      <c r="P613" s="4" t="str">
        <f t="shared" si="9"/>
        <v/>
      </c>
    </row>
    <row r="614" spans="16:16" x14ac:dyDescent="0.7">
      <c r="P614" s="4" t="str">
        <f t="shared" si="9"/>
        <v/>
      </c>
    </row>
    <row r="615" spans="16:16" x14ac:dyDescent="0.7">
      <c r="P615" s="4" t="str">
        <f t="shared" si="9"/>
        <v/>
      </c>
    </row>
    <row r="616" spans="16:16" x14ac:dyDescent="0.7">
      <c r="P616" s="4" t="str">
        <f t="shared" si="9"/>
        <v/>
      </c>
    </row>
    <row r="617" spans="16:16" x14ac:dyDescent="0.7">
      <c r="P617" s="4" t="str">
        <f t="shared" si="9"/>
        <v/>
      </c>
    </row>
    <row r="618" spans="16:16" x14ac:dyDescent="0.7">
      <c r="P618" s="4" t="str">
        <f t="shared" si="9"/>
        <v/>
      </c>
    </row>
    <row r="619" spans="16:16" x14ac:dyDescent="0.7">
      <c r="P619" s="4" t="str">
        <f t="shared" si="9"/>
        <v/>
      </c>
    </row>
    <row r="620" spans="16:16" x14ac:dyDescent="0.7">
      <c r="P620" s="4" t="str">
        <f t="shared" si="9"/>
        <v/>
      </c>
    </row>
    <row r="621" spans="16:16" x14ac:dyDescent="0.7">
      <c r="P621" s="4" t="str">
        <f t="shared" si="9"/>
        <v/>
      </c>
    </row>
    <row r="622" spans="16:16" x14ac:dyDescent="0.7">
      <c r="P622" s="4" t="str">
        <f t="shared" si="9"/>
        <v/>
      </c>
    </row>
    <row r="623" spans="16:16" x14ac:dyDescent="0.7">
      <c r="P623" s="4" t="str">
        <f t="shared" si="9"/>
        <v/>
      </c>
    </row>
    <row r="624" spans="16:16" x14ac:dyDescent="0.7">
      <c r="P624" s="4" t="str">
        <f t="shared" si="9"/>
        <v/>
      </c>
    </row>
    <row r="625" spans="16:16" x14ac:dyDescent="0.7">
      <c r="P625" s="4" t="str">
        <f t="shared" si="9"/>
        <v/>
      </c>
    </row>
    <row r="626" spans="16:16" x14ac:dyDescent="0.7">
      <c r="P626" s="4" t="str">
        <f t="shared" si="9"/>
        <v/>
      </c>
    </row>
    <row r="627" spans="16:16" x14ac:dyDescent="0.7">
      <c r="P627" s="4" t="str">
        <f t="shared" si="9"/>
        <v/>
      </c>
    </row>
    <row r="628" spans="16:16" x14ac:dyDescent="0.7">
      <c r="P628" s="4" t="str">
        <f t="shared" si="9"/>
        <v/>
      </c>
    </row>
    <row r="629" spans="16:16" x14ac:dyDescent="0.7">
      <c r="P629" s="4" t="str">
        <f t="shared" si="9"/>
        <v/>
      </c>
    </row>
    <row r="630" spans="16:16" x14ac:dyDescent="0.7">
      <c r="P630" s="4" t="str">
        <f t="shared" si="9"/>
        <v/>
      </c>
    </row>
    <row r="631" spans="16:16" x14ac:dyDescent="0.7">
      <c r="P631" s="4" t="str">
        <f t="shared" si="9"/>
        <v/>
      </c>
    </row>
    <row r="632" spans="16:16" x14ac:dyDescent="0.7">
      <c r="P632" s="4" t="str">
        <f t="shared" si="9"/>
        <v/>
      </c>
    </row>
    <row r="633" spans="16:16" x14ac:dyDescent="0.7">
      <c r="P633" s="4" t="str">
        <f t="shared" si="9"/>
        <v/>
      </c>
    </row>
    <row r="634" spans="16:16" x14ac:dyDescent="0.7">
      <c r="P634" s="4" t="str">
        <f t="shared" si="9"/>
        <v/>
      </c>
    </row>
    <row r="635" spans="16:16" x14ac:dyDescent="0.7">
      <c r="P635" s="4" t="str">
        <f t="shared" si="9"/>
        <v/>
      </c>
    </row>
    <row r="636" spans="16:16" x14ac:dyDescent="0.7">
      <c r="P636" s="4" t="str">
        <f t="shared" si="9"/>
        <v/>
      </c>
    </row>
    <row r="637" spans="16:16" x14ac:dyDescent="0.7">
      <c r="P637" s="4" t="str">
        <f t="shared" si="9"/>
        <v/>
      </c>
    </row>
    <row r="638" spans="16:16" x14ac:dyDescent="0.7">
      <c r="P638" s="4" t="str">
        <f t="shared" si="9"/>
        <v/>
      </c>
    </row>
    <row r="639" spans="16:16" x14ac:dyDescent="0.7">
      <c r="P639" s="4" t="str">
        <f t="shared" si="9"/>
        <v/>
      </c>
    </row>
    <row r="640" spans="16:16" x14ac:dyDescent="0.7">
      <c r="P640" s="4" t="str">
        <f t="shared" si="9"/>
        <v/>
      </c>
    </row>
    <row r="641" spans="16:16" x14ac:dyDescent="0.7">
      <c r="P641" s="4" t="str">
        <f t="shared" si="9"/>
        <v/>
      </c>
    </row>
    <row r="642" spans="16:16" x14ac:dyDescent="0.7">
      <c r="P642" s="4" t="str">
        <f t="shared" si="9"/>
        <v/>
      </c>
    </row>
    <row r="643" spans="16:16" x14ac:dyDescent="0.7">
      <c r="P643" s="4" t="str">
        <f t="shared" si="9"/>
        <v/>
      </c>
    </row>
    <row r="644" spans="16:16" x14ac:dyDescent="0.7">
      <c r="P644" s="4" t="str">
        <f t="shared" si="9"/>
        <v/>
      </c>
    </row>
    <row r="645" spans="16:16" x14ac:dyDescent="0.7">
      <c r="P645" s="4" t="str">
        <f t="shared" si="9"/>
        <v/>
      </c>
    </row>
    <row r="646" spans="16:16" x14ac:dyDescent="0.7">
      <c r="P646" s="4" t="str">
        <f t="shared" si="9"/>
        <v/>
      </c>
    </row>
    <row r="647" spans="16:16" x14ac:dyDescent="0.7">
      <c r="P647" s="4" t="str">
        <f t="shared" ref="P647:P710" si="10">IF(I647="","",SUMIFS(OrderItems_Qty,OrderItems_Type,"PURCHASE",OrderItems_SKU,I647)-SUMIFS(OrderItems_Qty,OrderItems_Type,"SALE",OrderItems_SKU,I647))</f>
        <v/>
      </c>
    </row>
    <row r="648" spans="16:16" x14ac:dyDescent="0.7">
      <c r="P648" s="4" t="str">
        <f t="shared" si="10"/>
        <v/>
      </c>
    </row>
    <row r="649" spans="16:16" x14ac:dyDescent="0.7">
      <c r="P649" s="4" t="str">
        <f t="shared" si="10"/>
        <v/>
      </c>
    </row>
    <row r="650" spans="16:16" x14ac:dyDescent="0.7">
      <c r="P650" s="4" t="str">
        <f t="shared" si="10"/>
        <v/>
      </c>
    </row>
    <row r="651" spans="16:16" x14ac:dyDescent="0.7">
      <c r="P651" s="4" t="str">
        <f t="shared" si="10"/>
        <v/>
      </c>
    </row>
    <row r="652" spans="16:16" x14ac:dyDescent="0.7">
      <c r="P652" s="4" t="str">
        <f t="shared" si="10"/>
        <v/>
      </c>
    </row>
    <row r="653" spans="16:16" x14ac:dyDescent="0.7">
      <c r="P653" s="4" t="str">
        <f t="shared" si="10"/>
        <v/>
      </c>
    </row>
    <row r="654" spans="16:16" x14ac:dyDescent="0.7">
      <c r="P654" s="4" t="str">
        <f t="shared" si="10"/>
        <v/>
      </c>
    </row>
    <row r="655" spans="16:16" x14ac:dyDescent="0.7">
      <c r="P655" s="4" t="str">
        <f t="shared" si="10"/>
        <v/>
      </c>
    </row>
    <row r="656" spans="16:16" x14ac:dyDescent="0.7">
      <c r="P656" s="4" t="str">
        <f t="shared" si="10"/>
        <v/>
      </c>
    </row>
    <row r="657" spans="16:16" x14ac:dyDescent="0.7">
      <c r="P657" s="4" t="str">
        <f t="shared" si="10"/>
        <v/>
      </c>
    </row>
    <row r="658" spans="16:16" x14ac:dyDescent="0.7">
      <c r="P658" s="4" t="str">
        <f t="shared" si="10"/>
        <v/>
      </c>
    </row>
    <row r="659" spans="16:16" x14ac:dyDescent="0.7">
      <c r="P659" s="4" t="str">
        <f t="shared" si="10"/>
        <v/>
      </c>
    </row>
    <row r="660" spans="16:16" x14ac:dyDescent="0.7">
      <c r="P660" s="4" t="str">
        <f t="shared" si="10"/>
        <v/>
      </c>
    </row>
    <row r="661" spans="16:16" x14ac:dyDescent="0.7">
      <c r="P661" s="4" t="str">
        <f t="shared" si="10"/>
        <v/>
      </c>
    </row>
    <row r="662" spans="16:16" x14ac:dyDescent="0.7">
      <c r="P662" s="4" t="str">
        <f t="shared" si="10"/>
        <v/>
      </c>
    </row>
    <row r="663" spans="16:16" x14ac:dyDescent="0.7">
      <c r="P663" s="4" t="str">
        <f t="shared" si="10"/>
        <v/>
      </c>
    </row>
    <row r="664" spans="16:16" x14ac:dyDescent="0.7">
      <c r="P664" s="4" t="str">
        <f t="shared" si="10"/>
        <v/>
      </c>
    </row>
    <row r="665" spans="16:16" x14ac:dyDescent="0.7">
      <c r="P665" s="4" t="str">
        <f t="shared" si="10"/>
        <v/>
      </c>
    </row>
    <row r="666" spans="16:16" x14ac:dyDescent="0.7">
      <c r="P666" s="4" t="str">
        <f t="shared" si="10"/>
        <v/>
      </c>
    </row>
    <row r="667" spans="16:16" x14ac:dyDescent="0.7">
      <c r="P667" s="4" t="str">
        <f t="shared" si="10"/>
        <v/>
      </c>
    </row>
    <row r="668" spans="16:16" x14ac:dyDescent="0.7">
      <c r="P668" s="4" t="str">
        <f t="shared" si="10"/>
        <v/>
      </c>
    </row>
    <row r="669" spans="16:16" x14ac:dyDescent="0.7">
      <c r="P669" s="4" t="str">
        <f t="shared" si="10"/>
        <v/>
      </c>
    </row>
    <row r="670" spans="16:16" x14ac:dyDescent="0.7">
      <c r="P670" s="4" t="str">
        <f t="shared" si="10"/>
        <v/>
      </c>
    </row>
    <row r="671" spans="16:16" x14ac:dyDescent="0.7">
      <c r="P671" s="4" t="str">
        <f t="shared" si="10"/>
        <v/>
      </c>
    </row>
    <row r="672" spans="16:16" x14ac:dyDescent="0.7">
      <c r="P672" s="4" t="str">
        <f t="shared" si="10"/>
        <v/>
      </c>
    </row>
    <row r="673" spans="16:16" x14ac:dyDescent="0.7">
      <c r="P673" s="4" t="str">
        <f t="shared" si="10"/>
        <v/>
      </c>
    </row>
    <row r="674" spans="16:16" x14ac:dyDescent="0.7">
      <c r="P674" s="4" t="str">
        <f t="shared" si="10"/>
        <v/>
      </c>
    </row>
    <row r="675" spans="16:16" x14ac:dyDescent="0.7">
      <c r="P675" s="4" t="str">
        <f t="shared" si="10"/>
        <v/>
      </c>
    </row>
    <row r="676" spans="16:16" x14ac:dyDescent="0.7">
      <c r="P676" s="4" t="str">
        <f t="shared" si="10"/>
        <v/>
      </c>
    </row>
    <row r="677" spans="16:16" x14ac:dyDescent="0.7">
      <c r="P677" s="4" t="str">
        <f t="shared" si="10"/>
        <v/>
      </c>
    </row>
    <row r="678" spans="16:16" x14ac:dyDescent="0.7">
      <c r="P678" s="4" t="str">
        <f t="shared" si="10"/>
        <v/>
      </c>
    </row>
    <row r="679" spans="16:16" x14ac:dyDescent="0.7">
      <c r="P679" s="4" t="str">
        <f t="shared" si="10"/>
        <v/>
      </c>
    </row>
    <row r="680" spans="16:16" x14ac:dyDescent="0.7">
      <c r="P680" s="4" t="str">
        <f t="shared" si="10"/>
        <v/>
      </c>
    </row>
    <row r="681" spans="16:16" x14ac:dyDescent="0.7">
      <c r="P681" s="4" t="str">
        <f t="shared" si="10"/>
        <v/>
      </c>
    </row>
    <row r="682" spans="16:16" x14ac:dyDescent="0.7">
      <c r="P682" s="4" t="str">
        <f t="shared" si="10"/>
        <v/>
      </c>
    </row>
    <row r="683" spans="16:16" x14ac:dyDescent="0.7">
      <c r="P683" s="4" t="str">
        <f t="shared" si="10"/>
        <v/>
      </c>
    </row>
    <row r="684" spans="16:16" x14ac:dyDescent="0.7">
      <c r="P684" s="4" t="str">
        <f t="shared" si="10"/>
        <v/>
      </c>
    </row>
    <row r="685" spans="16:16" x14ac:dyDescent="0.7">
      <c r="P685" s="4" t="str">
        <f t="shared" si="10"/>
        <v/>
      </c>
    </row>
    <row r="686" spans="16:16" x14ac:dyDescent="0.7">
      <c r="P686" s="4" t="str">
        <f t="shared" si="10"/>
        <v/>
      </c>
    </row>
    <row r="687" spans="16:16" x14ac:dyDescent="0.7">
      <c r="P687" s="4" t="str">
        <f t="shared" si="10"/>
        <v/>
      </c>
    </row>
    <row r="688" spans="16:16" x14ac:dyDescent="0.7">
      <c r="P688" s="4" t="str">
        <f t="shared" si="10"/>
        <v/>
      </c>
    </row>
    <row r="689" spans="16:16" x14ac:dyDescent="0.7">
      <c r="P689" s="4" t="str">
        <f t="shared" si="10"/>
        <v/>
      </c>
    </row>
    <row r="690" spans="16:16" x14ac:dyDescent="0.7">
      <c r="P690" s="4" t="str">
        <f t="shared" si="10"/>
        <v/>
      </c>
    </row>
    <row r="691" spans="16:16" x14ac:dyDescent="0.7">
      <c r="P691" s="4" t="str">
        <f t="shared" si="10"/>
        <v/>
      </c>
    </row>
    <row r="692" spans="16:16" x14ac:dyDescent="0.7">
      <c r="P692" s="4" t="str">
        <f t="shared" si="10"/>
        <v/>
      </c>
    </row>
    <row r="693" spans="16:16" x14ac:dyDescent="0.7">
      <c r="P693" s="4" t="str">
        <f t="shared" si="10"/>
        <v/>
      </c>
    </row>
    <row r="694" spans="16:16" x14ac:dyDescent="0.7">
      <c r="P694" s="4" t="str">
        <f t="shared" si="10"/>
        <v/>
      </c>
    </row>
    <row r="695" spans="16:16" x14ac:dyDescent="0.7">
      <c r="P695" s="4" t="str">
        <f t="shared" si="10"/>
        <v/>
      </c>
    </row>
    <row r="696" spans="16:16" x14ac:dyDescent="0.7">
      <c r="P696" s="4" t="str">
        <f t="shared" si="10"/>
        <v/>
      </c>
    </row>
    <row r="697" spans="16:16" x14ac:dyDescent="0.7">
      <c r="P697" s="4" t="str">
        <f t="shared" si="10"/>
        <v/>
      </c>
    </row>
    <row r="698" spans="16:16" x14ac:dyDescent="0.7">
      <c r="P698" s="4" t="str">
        <f t="shared" si="10"/>
        <v/>
      </c>
    </row>
    <row r="699" spans="16:16" x14ac:dyDescent="0.7">
      <c r="P699" s="4" t="str">
        <f t="shared" si="10"/>
        <v/>
      </c>
    </row>
    <row r="700" spans="16:16" x14ac:dyDescent="0.7">
      <c r="P700" s="4" t="str">
        <f t="shared" si="10"/>
        <v/>
      </c>
    </row>
    <row r="701" spans="16:16" x14ac:dyDescent="0.7">
      <c r="P701" s="4" t="str">
        <f t="shared" si="10"/>
        <v/>
      </c>
    </row>
    <row r="702" spans="16:16" x14ac:dyDescent="0.7">
      <c r="P702" s="4" t="str">
        <f t="shared" si="10"/>
        <v/>
      </c>
    </row>
    <row r="703" spans="16:16" x14ac:dyDescent="0.7">
      <c r="P703" s="4" t="str">
        <f t="shared" si="10"/>
        <v/>
      </c>
    </row>
    <row r="704" spans="16:16" x14ac:dyDescent="0.7">
      <c r="P704" s="4" t="str">
        <f t="shared" si="10"/>
        <v/>
      </c>
    </row>
    <row r="705" spans="16:16" x14ac:dyDescent="0.7">
      <c r="P705" s="4" t="str">
        <f t="shared" si="10"/>
        <v/>
      </c>
    </row>
    <row r="706" spans="16:16" x14ac:dyDescent="0.7">
      <c r="P706" s="4" t="str">
        <f t="shared" si="10"/>
        <v/>
      </c>
    </row>
    <row r="707" spans="16:16" x14ac:dyDescent="0.7">
      <c r="P707" s="4" t="str">
        <f t="shared" si="10"/>
        <v/>
      </c>
    </row>
    <row r="708" spans="16:16" x14ac:dyDescent="0.7">
      <c r="P708" s="4" t="str">
        <f t="shared" si="10"/>
        <v/>
      </c>
    </row>
    <row r="709" spans="16:16" x14ac:dyDescent="0.7">
      <c r="P709" s="4" t="str">
        <f t="shared" si="10"/>
        <v/>
      </c>
    </row>
    <row r="710" spans="16:16" x14ac:dyDescent="0.7">
      <c r="P710" s="4" t="str">
        <f t="shared" si="10"/>
        <v/>
      </c>
    </row>
    <row r="711" spans="16:16" x14ac:dyDescent="0.7">
      <c r="P711" s="4" t="str">
        <f t="shared" ref="P711:P774" si="11">IF(I711="","",SUMIFS(OrderItems_Qty,OrderItems_Type,"PURCHASE",OrderItems_SKU,I711)-SUMIFS(OrderItems_Qty,OrderItems_Type,"SALE",OrderItems_SKU,I711))</f>
        <v/>
      </c>
    </row>
    <row r="712" spans="16:16" x14ac:dyDescent="0.7">
      <c r="P712" s="4" t="str">
        <f t="shared" si="11"/>
        <v/>
      </c>
    </row>
    <row r="713" spans="16:16" x14ac:dyDescent="0.7">
      <c r="P713" s="4" t="str">
        <f t="shared" si="11"/>
        <v/>
      </c>
    </row>
    <row r="714" spans="16:16" x14ac:dyDescent="0.7">
      <c r="P714" s="4" t="str">
        <f t="shared" si="11"/>
        <v/>
      </c>
    </row>
    <row r="715" spans="16:16" x14ac:dyDescent="0.7">
      <c r="P715" s="4" t="str">
        <f t="shared" si="11"/>
        <v/>
      </c>
    </row>
    <row r="716" spans="16:16" x14ac:dyDescent="0.7">
      <c r="P716" s="4" t="str">
        <f t="shared" si="11"/>
        <v/>
      </c>
    </row>
    <row r="717" spans="16:16" x14ac:dyDescent="0.7">
      <c r="P717" s="4" t="str">
        <f t="shared" si="11"/>
        <v/>
      </c>
    </row>
    <row r="718" spans="16:16" x14ac:dyDescent="0.7">
      <c r="P718" s="4" t="str">
        <f t="shared" si="11"/>
        <v/>
      </c>
    </row>
    <row r="719" spans="16:16" x14ac:dyDescent="0.7">
      <c r="P719" s="4" t="str">
        <f t="shared" si="11"/>
        <v/>
      </c>
    </row>
    <row r="720" spans="16:16" x14ac:dyDescent="0.7">
      <c r="P720" s="4" t="str">
        <f t="shared" si="11"/>
        <v/>
      </c>
    </row>
    <row r="721" spans="16:16" x14ac:dyDescent="0.7">
      <c r="P721" s="4" t="str">
        <f t="shared" si="11"/>
        <v/>
      </c>
    </row>
    <row r="722" spans="16:16" x14ac:dyDescent="0.7">
      <c r="P722" s="4" t="str">
        <f t="shared" si="11"/>
        <v/>
      </c>
    </row>
    <row r="723" spans="16:16" x14ac:dyDescent="0.7">
      <c r="P723" s="4" t="str">
        <f t="shared" si="11"/>
        <v/>
      </c>
    </row>
    <row r="724" spans="16:16" x14ac:dyDescent="0.7">
      <c r="P724" s="4" t="str">
        <f t="shared" si="11"/>
        <v/>
      </c>
    </row>
    <row r="725" spans="16:16" x14ac:dyDescent="0.7">
      <c r="P725" s="4" t="str">
        <f t="shared" si="11"/>
        <v/>
      </c>
    </row>
    <row r="726" spans="16:16" x14ac:dyDescent="0.7">
      <c r="P726" s="4" t="str">
        <f t="shared" si="11"/>
        <v/>
      </c>
    </row>
    <row r="727" spans="16:16" x14ac:dyDescent="0.7">
      <c r="P727" s="4" t="str">
        <f t="shared" si="11"/>
        <v/>
      </c>
    </row>
    <row r="728" spans="16:16" x14ac:dyDescent="0.7">
      <c r="P728" s="4" t="str">
        <f t="shared" si="11"/>
        <v/>
      </c>
    </row>
    <row r="729" spans="16:16" x14ac:dyDescent="0.7">
      <c r="P729" s="4" t="str">
        <f t="shared" si="11"/>
        <v/>
      </c>
    </row>
    <row r="730" spans="16:16" x14ac:dyDescent="0.7">
      <c r="P730" s="4" t="str">
        <f t="shared" si="11"/>
        <v/>
      </c>
    </row>
    <row r="731" spans="16:16" x14ac:dyDescent="0.7">
      <c r="P731" s="4" t="str">
        <f t="shared" si="11"/>
        <v/>
      </c>
    </row>
    <row r="732" spans="16:16" x14ac:dyDescent="0.7">
      <c r="P732" s="4" t="str">
        <f t="shared" si="11"/>
        <v/>
      </c>
    </row>
    <row r="733" spans="16:16" x14ac:dyDescent="0.7">
      <c r="P733" s="4" t="str">
        <f t="shared" si="11"/>
        <v/>
      </c>
    </row>
    <row r="734" spans="16:16" x14ac:dyDescent="0.7">
      <c r="P734" s="4" t="str">
        <f t="shared" si="11"/>
        <v/>
      </c>
    </row>
    <row r="735" spans="16:16" x14ac:dyDescent="0.7">
      <c r="P735" s="4" t="str">
        <f t="shared" si="11"/>
        <v/>
      </c>
    </row>
    <row r="736" spans="16:16" x14ac:dyDescent="0.7">
      <c r="P736" s="4" t="str">
        <f t="shared" si="11"/>
        <v/>
      </c>
    </row>
    <row r="737" spans="16:16" x14ac:dyDescent="0.7">
      <c r="P737" s="4" t="str">
        <f t="shared" si="11"/>
        <v/>
      </c>
    </row>
    <row r="738" spans="16:16" x14ac:dyDescent="0.7">
      <c r="P738" s="4" t="str">
        <f t="shared" si="11"/>
        <v/>
      </c>
    </row>
    <row r="739" spans="16:16" x14ac:dyDescent="0.7">
      <c r="P739" s="4" t="str">
        <f t="shared" si="11"/>
        <v/>
      </c>
    </row>
    <row r="740" spans="16:16" x14ac:dyDescent="0.7">
      <c r="P740" s="4" t="str">
        <f t="shared" si="11"/>
        <v/>
      </c>
    </row>
    <row r="741" spans="16:16" x14ac:dyDescent="0.7">
      <c r="P741" s="4" t="str">
        <f t="shared" si="11"/>
        <v/>
      </c>
    </row>
    <row r="742" spans="16:16" x14ac:dyDescent="0.7">
      <c r="P742" s="4" t="str">
        <f t="shared" si="11"/>
        <v/>
      </c>
    </row>
    <row r="743" spans="16:16" x14ac:dyDescent="0.7">
      <c r="P743" s="4" t="str">
        <f t="shared" si="11"/>
        <v/>
      </c>
    </row>
    <row r="744" spans="16:16" x14ac:dyDescent="0.7">
      <c r="P744" s="4" t="str">
        <f t="shared" si="11"/>
        <v/>
      </c>
    </row>
    <row r="745" spans="16:16" x14ac:dyDescent="0.7">
      <c r="P745" s="4" t="str">
        <f t="shared" si="11"/>
        <v/>
      </c>
    </row>
    <row r="746" spans="16:16" x14ac:dyDescent="0.7">
      <c r="P746" s="4" t="str">
        <f t="shared" si="11"/>
        <v/>
      </c>
    </row>
    <row r="747" spans="16:16" x14ac:dyDescent="0.7">
      <c r="P747" s="4" t="str">
        <f t="shared" si="11"/>
        <v/>
      </c>
    </row>
    <row r="748" spans="16:16" x14ac:dyDescent="0.7">
      <c r="P748" s="4" t="str">
        <f t="shared" si="11"/>
        <v/>
      </c>
    </row>
    <row r="749" spans="16:16" x14ac:dyDescent="0.7">
      <c r="P749" s="4" t="str">
        <f t="shared" si="11"/>
        <v/>
      </c>
    </row>
    <row r="750" spans="16:16" x14ac:dyDescent="0.7">
      <c r="P750" s="4" t="str">
        <f t="shared" si="11"/>
        <v/>
      </c>
    </row>
    <row r="751" spans="16:16" x14ac:dyDescent="0.7">
      <c r="P751" s="4" t="str">
        <f t="shared" si="11"/>
        <v/>
      </c>
    </row>
    <row r="752" spans="16:16" x14ac:dyDescent="0.7">
      <c r="P752" s="4" t="str">
        <f t="shared" si="11"/>
        <v/>
      </c>
    </row>
    <row r="753" spans="16:16" x14ac:dyDescent="0.7">
      <c r="P753" s="4" t="str">
        <f t="shared" si="11"/>
        <v/>
      </c>
    </row>
    <row r="754" spans="16:16" x14ac:dyDescent="0.7">
      <c r="P754" s="4" t="str">
        <f t="shared" si="11"/>
        <v/>
      </c>
    </row>
    <row r="755" spans="16:16" x14ac:dyDescent="0.7">
      <c r="P755" s="4" t="str">
        <f t="shared" si="11"/>
        <v/>
      </c>
    </row>
    <row r="756" spans="16:16" x14ac:dyDescent="0.7">
      <c r="P756" s="4" t="str">
        <f t="shared" si="11"/>
        <v/>
      </c>
    </row>
    <row r="757" spans="16:16" x14ac:dyDescent="0.7">
      <c r="P757" s="4" t="str">
        <f t="shared" si="11"/>
        <v/>
      </c>
    </row>
    <row r="758" spans="16:16" x14ac:dyDescent="0.7">
      <c r="P758" s="4" t="str">
        <f t="shared" si="11"/>
        <v/>
      </c>
    </row>
    <row r="759" spans="16:16" x14ac:dyDescent="0.7">
      <c r="P759" s="4" t="str">
        <f t="shared" si="11"/>
        <v/>
      </c>
    </row>
    <row r="760" spans="16:16" x14ac:dyDescent="0.7">
      <c r="P760" s="4" t="str">
        <f t="shared" si="11"/>
        <v/>
      </c>
    </row>
    <row r="761" spans="16:16" x14ac:dyDescent="0.7">
      <c r="P761" s="4" t="str">
        <f t="shared" si="11"/>
        <v/>
      </c>
    </row>
    <row r="762" spans="16:16" x14ac:dyDescent="0.7">
      <c r="P762" s="4" t="str">
        <f t="shared" si="11"/>
        <v/>
      </c>
    </row>
    <row r="763" spans="16:16" x14ac:dyDescent="0.7">
      <c r="P763" s="4" t="str">
        <f t="shared" si="11"/>
        <v/>
      </c>
    </row>
    <row r="764" spans="16:16" x14ac:dyDescent="0.7">
      <c r="P764" s="4" t="str">
        <f t="shared" si="11"/>
        <v/>
      </c>
    </row>
    <row r="765" spans="16:16" x14ac:dyDescent="0.7">
      <c r="P765" s="4" t="str">
        <f t="shared" si="11"/>
        <v/>
      </c>
    </row>
    <row r="766" spans="16:16" x14ac:dyDescent="0.7">
      <c r="P766" s="4" t="str">
        <f t="shared" si="11"/>
        <v/>
      </c>
    </row>
    <row r="767" spans="16:16" x14ac:dyDescent="0.7">
      <c r="P767" s="4" t="str">
        <f t="shared" si="11"/>
        <v/>
      </c>
    </row>
    <row r="768" spans="16:16" x14ac:dyDescent="0.7">
      <c r="P768" s="4" t="str">
        <f t="shared" si="11"/>
        <v/>
      </c>
    </row>
    <row r="769" spans="16:16" x14ac:dyDescent="0.7">
      <c r="P769" s="4" t="str">
        <f t="shared" si="11"/>
        <v/>
      </c>
    </row>
    <row r="770" spans="16:16" x14ac:dyDescent="0.7">
      <c r="P770" s="4" t="str">
        <f t="shared" si="11"/>
        <v/>
      </c>
    </row>
    <row r="771" spans="16:16" x14ac:dyDescent="0.7">
      <c r="P771" s="4" t="str">
        <f t="shared" si="11"/>
        <v/>
      </c>
    </row>
    <row r="772" spans="16:16" x14ac:dyDescent="0.7">
      <c r="P772" s="4" t="str">
        <f t="shared" si="11"/>
        <v/>
      </c>
    </row>
    <row r="773" spans="16:16" x14ac:dyDescent="0.7">
      <c r="P773" s="4" t="str">
        <f t="shared" si="11"/>
        <v/>
      </c>
    </row>
    <row r="774" spans="16:16" x14ac:dyDescent="0.7">
      <c r="P774" s="4" t="str">
        <f t="shared" si="11"/>
        <v/>
      </c>
    </row>
    <row r="775" spans="16:16" x14ac:dyDescent="0.7">
      <c r="P775" s="4" t="str">
        <f t="shared" ref="P775:P838" si="12">IF(I775="","",SUMIFS(OrderItems_Qty,OrderItems_Type,"PURCHASE",OrderItems_SKU,I775)-SUMIFS(OrderItems_Qty,OrderItems_Type,"SALE",OrderItems_SKU,I775))</f>
        <v/>
      </c>
    </row>
    <row r="776" spans="16:16" x14ac:dyDescent="0.7">
      <c r="P776" s="4" t="str">
        <f t="shared" si="12"/>
        <v/>
      </c>
    </row>
    <row r="777" spans="16:16" x14ac:dyDescent="0.7">
      <c r="P777" s="4" t="str">
        <f t="shared" si="12"/>
        <v/>
      </c>
    </row>
    <row r="778" spans="16:16" x14ac:dyDescent="0.7">
      <c r="P778" s="4" t="str">
        <f t="shared" si="12"/>
        <v/>
      </c>
    </row>
    <row r="779" spans="16:16" x14ac:dyDescent="0.7">
      <c r="P779" s="4" t="str">
        <f t="shared" si="12"/>
        <v/>
      </c>
    </row>
    <row r="780" spans="16:16" x14ac:dyDescent="0.7">
      <c r="P780" s="4" t="str">
        <f t="shared" si="12"/>
        <v/>
      </c>
    </row>
    <row r="781" spans="16:16" x14ac:dyDescent="0.7">
      <c r="P781" s="4" t="str">
        <f t="shared" si="12"/>
        <v/>
      </c>
    </row>
    <row r="782" spans="16:16" x14ac:dyDescent="0.7">
      <c r="P782" s="4" t="str">
        <f t="shared" si="12"/>
        <v/>
      </c>
    </row>
    <row r="783" spans="16:16" x14ac:dyDescent="0.7">
      <c r="P783" s="4" t="str">
        <f t="shared" si="12"/>
        <v/>
      </c>
    </row>
    <row r="784" spans="16:16" x14ac:dyDescent="0.7">
      <c r="P784" s="4" t="str">
        <f t="shared" si="12"/>
        <v/>
      </c>
    </row>
    <row r="785" spans="16:16" x14ac:dyDescent="0.7">
      <c r="P785" s="4" t="str">
        <f t="shared" si="12"/>
        <v/>
      </c>
    </row>
    <row r="786" spans="16:16" x14ac:dyDescent="0.7">
      <c r="P786" s="4" t="str">
        <f t="shared" si="12"/>
        <v/>
      </c>
    </row>
    <row r="787" spans="16:16" x14ac:dyDescent="0.7">
      <c r="P787" s="4" t="str">
        <f t="shared" si="12"/>
        <v/>
      </c>
    </row>
    <row r="788" spans="16:16" x14ac:dyDescent="0.7">
      <c r="P788" s="4" t="str">
        <f t="shared" si="12"/>
        <v/>
      </c>
    </row>
    <row r="789" spans="16:16" x14ac:dyDescent="0.7">
      <c r="P789" s="4" t="str">
        <f t="shared" si="12"/>
        <v/>
      </c>
    </row>
    <row r="790" spans="16:16" x14ac:dyDescent="0.7">
      <c r="P790" s="4" t="str">
        <f t="shared" si="12"/>
        <v/>
      </c>
    </row>
    <row r="791" spans="16:16" x14ac:dyDescent="0.7">
      <c r="P791" s="4" t="str">
        <f t="shared" si="12"/>
        <v/>
      </c>
    </row>
    <row r="792" spans="16:16" x14ac:dyDescent="0.7">
      <c r="P792" s="4" t="str">
        <f t="shared" si="12"/>
        <v/>
      </c>
    </row>
    <row r="793" spans="16:16" x14ac:dyDescent="0.7">
      <c r="P793" s="4" t="str">
        <f t="shared" si="12"/>
        <v/>
      </c>
    </row>
    <row r="794" spans="16:16" x14ac:dyDescent="0.7">
      <c r="P794" s="4" t="str">
        <f t="shared" si="12"/>
        <v/>
      </c>
    </row>
    <row r="795" spans="16:16" x14ac:dyDescent="0.7">
      <c r="P795" s="4" t="str">
        <f t="shared" si="12"/>
        <v/>
      </c>
    </row>
    <row r="796" spans="16:16" x14ac:dyDescent="0.7">
      <c r="P796" s="4" t="str">
        <f t="shared" si="12"/>
        <v/>
      </c>
    </row>
    <row r="797" spans="16:16" x14ac:dyDescent="0.7">
      <c r="P797" s="4" t="str">
        <f t="shared" si="12"/>
        <v/>
      </c>
    </row>
    <row r="798" spans="16:16" x14ac:dyDescent="0.7">
      <c r="P798" s="4" t="str">
        <f t="shared" si="12"/>
        <v/>
      </c>
    </row>
    <row r="799" spans="16:16" x14ac:dyDescent="0.7">
      <c r="P799" s="4" t="str">
        <f t="shared" si="12"/>
        <v/>
      </c>
    </row>
    <row r="800" spans="16:16" x14ac:dyDescent="0.7">
      <c r="P800" s="4" t="str">
        <f t="shared" si="12"/>
        <v/>
      </c>
    </row>
    <row r="801" spans="16:16" x14ac:dyDescent="0.7">
      <c r="P801" s="4" t="str">
        <f t="shared" si="12"/>
        <v/>
      </c>
    </row>
    <row r="802" spans="16:16" x14ac:dyDescent="0.7">
      <c r="P802" s="4" t="str">
        <f t="shared" si="12"/>
        <v/>
      </c>
    </row>
    <row r="803" spans="16:16" x14ac:dyDescent="0.7">
      <c r="P803" s="4" t="str">
        <f t="shared" si="12"/>
        <v/>
      </c>
    </row>
    <row r="804" spans="16:16" x14ac:dyDescent="0.7">
      <c r="P804" s="4" t="str">
        <f t="shared" si="12"/>
        <v/>
      </c>
    </row>
    <row r="805" spans="16:16" x14ac:dyDescent="0.7">
      <c r="P805" s="4" t="str">
        <f t="shared" si="12"/>
        <v/>
      </c>
    </row>
    <row r="806" spans="16:16" x14ac:dyDescent="0.7">
      <c r="P806" s="4" t="str">
        <f t="shared" si="12"/>
        <v/>
      </c>
    </row>
    <row r="807" spans="16:16" x14ac:dyDescent="0.7">
      <c r="P807" s="4" t="str">
        <f t="shared" si="12"/>
        <v/>
      </c>
    </row>
    <row r="808" spans="16:16" x14ac:dyDescent="0.7">
      <c r="P808" s="4" t="str">
        <f t="shared" si="12"/>
        <v/>
      </c>
    </row>
    <row r="809" spans="16:16" x14ac:dyDescent="0.7">
      <c r="P809" s="4" t="str">
        <f t="shared" si="12"/>
        <v/>
      </c>
    </row>
    <row r="810" spans="16:16" x14ac:dyDescent="0.7">
      <c r="P810" s="4" t="str">
        <f t="shared" si="12"/>
        <v/>
      </c>
    </row>
    <row r="811" spans="16:16" x14ac:dyDescent="0.7">
      <c r="P811" s="4" t="str">
        <f t="shared" si="12"/>
        <v/>
      </c>
    </row>
    <row r="812" spans="16:16" x14ac:dyDescent="0.7">
      <c r="P812" s="4" t="str">
        <f t="shared" si="12"/>
        <v/>
      </c>
    </row>
    <row r="813" spans="16:16" x14ac:dyDescent="0.7">
      <c r="P813" s="4" t="str">
        <f t="shared" si="12"/>
        <v/>
      </c>
    </row>
    <row r="814" spans="16:16" x14ac:dyDescent="0.7">
      <c r="P814" s="4" t="str">
        <f t="shared" si="12"/>
        <v/>
      </c>
    </row>
    <row r="815" spans="16:16" x14ac:dyDescent="0.7">
      <c r="P815" s="4" t="str">
        <f t="shared" si="12"/>
        <v/>
      </c>
    </row>
    <row r="816" spans="16:16" x14ac:dyDescent="0.7">
      <c r="P816" s="4" t="str">
        <f t="shared" si="12"/>
        <v/>
      </c>
    </row>
    <row r="817" spans="16:16" x14ac:dyDescent="0.7">
      <c r="P817" s="4" t="str">
        <f t="shared" si="12"/>
        <v/>
      </c>
    </row>
    <row r="818" spans="16:16" x14ac:dyDescent="0.7">
      <c r="P818" s="4" t="str">
        <f t="shared" si="12"/>
        <v/>
      </c>
    </row>
    <row r="819" spans="16:16" x14ac:dyDescent="0.7">
      <c r="P819" s="4" t="str">
        <f t="shared" si="12"/>
        <v/>
      </c>
    </row>
    <row r="820" spans="16:16" x14ac:dyDescent="0.7">
      <c r="P820" s="4" t="str">
        <f t="shared" si="12"/>
        <v/>
      </c>
    </row>
    <row r="821" spans="16:16" x14ac:dyDescent="0.7">
      <c r="P821" s="4" t="str">
        <f t="shared" si="12"/>
        <v/>
      </c>
    </row>
    <row r="822" spans="16:16" x14ac:dyDescent="0.7">
      <c r="P822" s="4" t="str">
        <f t="shared" si="12"/>
        <v/>
      </c>
    </row>
    <row r="823" spans="16:16" x14ac:dyDescent="0.7">
      <c r="P823" s="4" t="str">
        <f t="shared" si="12"/>
        <v/>
      </c>
    </row>
    <row r="824" spans="16:16" x14ac:dyDescent="0.7">
      <c r="P824" s="4" t="str">
        <f t="shared" si="12"/>
        <v/>
      </c>
    </row>
    <row r="825" spans="16:16" x14ac:dyDescent="0.7">
      <c r="P825" s="4" t="str">
        <f t="shared" si="12"/>
        <v/>
      </c>
    </row>
    <row r="826" spans="16:16" x14ac:dyDescent="0.7">
      <c r="P826" s="4" t="str">
        <f t="shared" si="12"/>
        <v/>
      </c>
    </row>
    <row r="827" spans="16:16" x14ac:dyDescent="0.7">
      <c r="P827" s="4" t="str">
        <f t="shared" si="12"/>
        <v/>
      </c>
    </row>
    <row r="828" spans="16:16" x14ac:dyDescent="0.7">
      <c r="P828" s="4" t="str">
        <f t="shared" si="12"/>
        <v/>
      </c>
    </row>
    <row r="829" spans="16:16" x14ac:dyDescent="0.7">
      <c r="P829" s="4" t="str">
        <f t="shared" si="12"/>
        <v/>
      </c>
    </row>
    <row r="830" spans="16:16" x14ac:dyDescent="0.7">
      <c r="P830" s="4" t="str">
        <f t="shared" si="12"/>
        <v/>
      </c>
    </row>
    <row r="831" spans="16:16" x14ac:dyDescent="0.7">
      <c r="P831" s="4" t="str">
        <f t="shared" si="12"/>
        <v/>
      </c>
    </row>
    <row r="832" spans="16:16" x14ac:dyDescent="0.7">
      <c r="P832" s="4" t="str">
        <f t="shared" si="12"/>
        <v/>
      </c>
    </row>
    <row r="833" spans="16:16" x14ac:dyDescent="0.7">
      <c r="P833" s="4" t="str">
        <f t="shared" si="12"/>
        <v/>
      </c>
    </row>
    <row r="834" spans="16:16" x14ac:dyDescent="0.7">
      <c r="P834" s="4" t="str">
        <f t="shared" si="12"/>
        <v/>
      </c>
    </row>
    <row r="835" spans="16:16" x14ac:dyDescent="0.7">
      <c r="P835" s="4" t="str">
        <f t="shared" si="12"/>
        <v/>
      </c>
    </row>
    <row r="836" spans="16:16" x14ac:dyDescent="0.7">
      <c r="P836" s="4" t="str">
        <f t="shared" si="12"/>
        <v/>
      </c>
    </row>
    <row r="837" spans="16:16" x14ac:dyDescent="0.7">
      <c r="P837" s="4" t="str">
        <f t="shared" si="12"/>
        <v/>
      </c>
    </row>
    <row r="838" spans="16:16" x14ac:dyDescent="0.7">
      <c r="P838" s="4" t="str">
        <f t="shared" si="12"/>
        <v/>
      </c>
    </row>
    <row r="839" spans="16:16" x14ac:dyDescent="0.7">
      <c r="P839" s="4" t="str">
        <f t="shared" ref="P839:P902" si="13">IF(I839="","",SUMIFS(OrderItems_Qty,OrderItems_Type,"PURCHASE",OrderItems_SKU,I839)-SUMIFS(OrderItems_Qty,OrderItems_Type,"SALE",OrderItems_SKU,I839))</f>
        <v/>
      </c>
    </row>
    <row r="840" spans="16:16" x14ac:dyDescent="0.7">
      <c r="P840" s="4" t="str">
        <f t="shared" si="13"/>
        <v/>
      </c>
    </row>
    <row r="841" spans="16:16" x14ac:dyDescent="0.7">
      <c r="P841" s="4" t="str">
        <f t="shared" si="13"/>
        <v/>
      </c>
    </row>
    <row r="842" spans="16:16" x14ac:dyDescent="0.7">
      <c r="P842" s="4" t="str">
        <f t="shared" si="13"/>
        <v/>
      </c>
    </row>
    <row r="843" spans="16:16" x14ac:dyDescent="0.7">
      <c r="P843" s="4" t="str">
        <f t="shared" si="13"/>
        <v/>
      </c>
    </row>
    <row r="844" spans="16:16" x14ac:dyDescent="0.7">
      <c r="P844" s="4" t="str">
        <f t="shared" si="13"/>
        <v/>
      </c>
    </row>
    <row r="845" spans="16:16" x14ac:dyDescent="0.7">
      <c r="P845" s="4" t="str">
        <f t="shared" si="13"/>
        <v/>
      </c>
    </row>
    <row r="846" spans="16:16" x14ac:dyDescent="0.7">
      <c r="P846" s="4" t="str">
        <f t="shared" si="13"/>
        <v/>
      </c>
    </row>
    <row r="847" spans="16:16" x14ac:dyDescent="0.7">
      <c r="P847" s="4" t="str">
        <f t="shared" si="13"/>
        <v/>
      </c>
    </row>
    <row r="848" spans="16:16" x14ac:dyDescent="0.7">
      <c r="P848" s="4" t="str">
        <f t="shared" si="13"/>
        <v/>
      </c>
    </row>
    <row r="849" spans="16:16" x14ac:dyDescent="0.7">
      <c r="P849" s="4" t="str">
        <f t="shared" si="13"/>
        <v/>
      </c>
    </row>
    <row r="850" spans="16:16" x14ac:dyDescent="0.7">
      <c r="P850" s="4" t="str">
        <f t="shared" si="13"/>
        <v/>
      </c>
    </row>
    <row r="851" spans="16:16" x14ac:dyDescent="0.7">
      <c r="P851" s="4" t="str">
        <f t="shared" si="13"/>
        <v/>
      </c>
    </row>
    <row r="852" spans="16:16" x14ac:dyDescent="0.7">
      <c r="P852" s="4" t="str">
        <f t="shared" si="13"/>
        <v/>
      </c>
    </row>
    <row r="853" spans="16:16" x14ac:dyDescent="0.7">
      <c r="P853" s="4" t="str">
        <f t="shared" si="13"/>
        <v/>
      </c>
    </row>
    <row r="854" spans="16:16" x14ac:dyDescent="0.7">
      <c r="P854" s="4" t="str">
        <f t="shared" si="13"/>
        <v/>
      </c>
    </row>
    <row r="855" spans="16:16" x14ac:dyDescent="0.7">
      <c r="P855" s="4" t="str">
        <f t="shared" si="13"/>
        <v/>
      </c>
    </row>
    <row r="856" spans="16:16" x14ac:dyDescent="0.7">
      <c r="P856" s="4" t="str">
        <f t="shared" si="13"/>
        <v/>
      </c>
    </row>
    <row r="857" spans="16:16" x14ac:dyDescent="0.7">
      <c r="P857" s="4" t="str">
        <f t="shared" si="13"/>
        <v/>
      </c>
    </row>
    <row r="858" spans="16:16" x14ac:dyDescent="0.7">
      <c r="P858" s="4" t="str">
        <f t="shared" si="13"/>
        <v/>
      </c>
    </row>
    <row r="859" spans="16:16" x14ac:dyDescent="0.7">
      <c r="P859" s="4" t="str">
        <f t="shared" si="13"/>
        <v/>
      </c>
    </row>
    <row r="860" spans="16:16" x14ac:dyDescent="0.7">
      <c r="P860" s="4" t="str">
        <f t="shared" si="13"/>
        <v/>
      </c>
    </row>
    <row r="861" spans="16:16" x14ac:dyDescent="0.7">
      <c r="P861" s="4" t="str">
        <f t="shared" si="13"/>
        <v/>
      </c>
    </row>
    <row r="862" spans="16:16" x14ac:dyDescent="0.7">
      <c r="P862" s="4" t="str">
        <f t="shared" si="13"/>
        <v/>
      </c>
    </row>
    <row r="863" spans="16:16" x14ac:dyDescent="0.7">
      <c r="P863" s="4" t="str">
        <f t="shared" si="13"/>
        <v/>
      </c>
    </row>
    <row r="864" spans="16:16" x14ac:dyDescent="0.7">
      <c r="P864" s="4" t="str">
        <f t="shared" si="13"/>
        <v/>
      </c>
    </row>
    <row r="865" spans="16:16" x14ac:dyDescent="0.7">
      <c r="P865" s="4" t="str">
        <f t="shared" si="13"/>
        <v/>
      </c>
    </row>
    <row r="866" spans="16:16" x14ac:dyDescent="0.7">
      <c r="P866" s="4" t="str">
        <f t="shared" si="13"/>
        <v/>
      </c>
    </row>
    <row r="867" spans="16:16" x14ac:dyDescent="0.7">
      <c r="P867" s="4" t="str">
        <f t="shared" si="13"/>
        <v/>
      </c>
    </row>
    <row r="868" spans="16:16" x14ac:dyDescent="0.7">
      <c r="P868" s="4" t="str">
        <f t="shared" si="13"/>
        <v/>
      </c>
    </row>
    <row r="869" spans="16:16" x14ac:dyDescent="0.7">
      <c r="P869" s="4" t="str">
        <f t="shared" si="13"/>
        <v/>
      </c>
    </row>
    <row r="870" spans="16:16" x14ac:dyDescent="0.7">
      <c r="P870" s="4" t="str">
        <f t="shared" si="13"/>
        <v/>
      </c>
    </row>
    <row r="871" spans="16:16" x14ac:dyDescent="0.7">
      <c r="P871" s="4" t="str">
        <f t="shared" si="13"/>
        <v/>
      </c>
    </row>
    <row r="872" spans="16:16" x14ac:dyDescent="0.7">
      <c r="P872" s="4" t="str">
        <f t="shared" si="13"/>
        <v/>
      </c>
    </row>
    <row r="873" spans="16:16" x14ac:dyDescent="0.7">
      <c r="P873" s="4" t="str">
        <f t="shared" si="13"/>
        <v/>
      </c>
    </row>
    <row r="874" spans="16:16" x14ac:dyDescent="0.7">
      <c r="P874" s="4" t="str">
        <f t="shared" si="13"/>
        <v/>
      </c>
    </row>
    <row r="875" spans="16:16" x14ac:dyDescent="0.7">
      <c r="P875" s="4" t="str">
        <f t="shared" si="13"/>
        <v/>
      </c>
    </row>
    <row r="876" spans="16:16" x14ac:dyDescent="0.7">
      <c r="P876" s="4" t="str">
        <f t="shared" si="13"/>
        <v/>
      </c>
    </row>
    <row r="877" spans="16:16" x14ac:dyDescent="0.7">
      <c r="P877" s="4" t="str">
        <f t="shared" si="13"/>
        <v/>
      </c>
    </row>
    <row r="878" spans="16:16" x14ac:dyDescent="0.7">
      <c r="P878" s="4" t="str">
        <f t="shared" si="13"/>
        <v/>
      </c>
    </row>
    <row r="879" spans="16:16" x14ac:dyDescent="0.7">
      <c r="P879" s="4" t="str">
        <f t="shared" si="13"/>
        <v/>
      </c>
    </row>
    <row r="880" spans="16:16" x14ac:dyDescent="0.7">
      <c r="P880" s="4" t="str">
        <f t="shared" si="13"/>
        <v/>
      </c>
    </row>
    <row r="881" spans="16:16" x14ac:dyDescent="0.7">
      <c r="P881" s="4" t="str">
        <f t="shared" si="13"/>
        <v/>
      </c>
    </row>
    <row r="882" spans="16:16" x14ac:dyDescent="0.7">
      <c r="P882" s="4" t="str">
        <f t="shared" si="13"/>
        <v/>
      </c>
    </row>
    <row r="883" spans="16:16" x14ac:dyDescent="0.7">
      <c r="P883" s="4" t="str">
        <f t="shared" si="13"/>
        <v/>
      </c>
    </row>
    <row r="884" spans="16:16" x14ac:dyDescent="0.7">
      <c r="P884" s="4" t="str">
        <f t="shared" si="13"/>
        <v/>
      </c>
    </row>
    <row r="885" spans="16:16" x14ac:dyDescent="0.7">
      <c r="P885" s="4" t="str">
        <f t="shared" si="13"/>
        <v/>
      </c>
    </row>
    <row r="886" spans="16:16" x14ac:dyDescent="0.7">
      <c r="P886" s="4" t="str">
        <f t="shared" si="13"/>
        <v/>
      </c>
    </row>
    <row r="887" spans="16:16" x14ac:dyDescent="0.7">
      <c r="P887" s="4" t="str">
        <f t="shared" si="13"/>
        <v/>
      </c>
    </row>
    <row r="888" spans="16:16" x14ac:dyDescent="0.7">
      <c r="P888" s="4" t="str">
        <f t="shared" si="13"/>
        <v/>
      </c>
    </row>
    <row r="889" spans="16:16" x14ac:dyDescent="0.7">
      <c r="P889" s="4" t="str">
        <f t="shared" si="13"/>
        <v/>
      </c>
    </row>
    <row r="890" spans="16:16" x14ac:dyDescent="0.7">
      <c r="P890" s="4" t="str">
        <f t="shared" si="13"/>
        <v/>
      </c>
    </row>
    <row r="891" spans="16:16" x14ac:dyDescent="0.7">
      <c r="P891" s="4" t="str">
        <f t="shared" si="13"/>
        <v/>
      </c>
    </row>
    <row r="892" spans="16:16" x14ac:dyDescent="0.7">
      <c r="P892" s="4" t="str">
        <f t="shared" si="13"/>
        <v/>
      </c>
    </row>
    <row r="893" spans="16:16" x14ac:dyDescent="0.7">
      <c r="P893" s="4" t="str">
        <f t="shared" si="13"/>
        <v/>
      </c>
    </row>
    <row r="894" spans="16:16" x14ac:dyDescent="0.7">
      <c r="P894" s="4" t="str">
        <f t="shared" si="13"/>
        <v/>
      </c>
    </row>
    <row r="895" spans="16:16" x14ac:dyDescent="0.7">
      <c r="P895" s="4" t="str">
        <f t="shared" si="13"/>
        <v/>
      </c>
    </row>
    <row r="896" spans="16:16" x14ac:dyDescent="0.7">
      <c r="P896" s="4" t="str">
        <f t="shared" si="13"/>
        <v/>
      </c>
    </row>
    <row r="897" spans="16:16" x14ac:dyDescent="0.7">
      <c r="P897" s="4" t="str">
        <f t="shared" si="13"/>
        <v/>
      </c>
    </row>
    <row r="898" spans="16:16" x14ac:dyDescent="0.7">
      <c r="P898" s="4" t="str">
        <f t="shared" si="13"/>
        <v/>
      </c>
    </row>
    <row r="899" spans="16:16" x14ac:dyDescent="0.7">
      <c r="P899" s="4" t="str">
        <f t="shared" si="13"/>
        <v/>
      </c>
    </row>
    <row r="900" spans="16:16" x14ac:dyDescent="0.7">
      <c r="P900" s="4" t="str">
        <f t="shared" si="13"/>
        <v/>
      </c>
    </row>
    <row r="901" spans="16:16" x14ac:dyDescent="0.7">
      <c r="P901" s="4" t="str">
        <f t="shared" si="13"/>
        <v/>
      </c>
    </row>
    <row r="902" spans="16:16" x14ac:dyDescent="0.7">
      <c r="P902" s="4" t="str">
        <f t="shared" si="13"/>
        <v/>
      </c>
    </row>
    <row r="903" spans="16:16" x14ac:dyDescent="0.7">
      <c r="P903" s="4" t="str">
        <f t="shared" ref="P903:P966" si="14">IF(I903="","",SUMIFS(OrderItems_Qty,OrderItems_Type,"PURCHASE",OrderItems_SKU,I903)-SUMIFS(OrderItems_Qty,OrderItems_Type,"SALE",OrderItems_SKU,I903))</f>
        <v/>
      </c>
    </row>
    <row r="904" spans="16:16" x14ac:dyDescent="0.7">
      <c r="P904" s="4" t="str">
        <f t="shared" si="14"/>
        <v/>
      </c>
    </row>
    <row r="905" spans="16:16" x14ac:dyDescent="0.7">
      <c r="P905" s="4" t="str">
        <f t="shared" si="14"/>
        <v/>
      </c>
    </row>
    <row r="906" spans="16:16" x14ac:dyDescent="0.7">
      <c r="P906" s="4" t="str">
        <f t="shared" si="14"/>
        <v/>
      </c>
    </row>
    <row r="907" spans="16:16" x14ac:dyDescent="0.7">
      <c r="P907" s="4" t="str">
        <f t="shared" si="14"/>
        <v/>
      </c>
    </row>
    <row r="908" spans="16:16" x14ac:dyDescent="0.7">
      <c r="P908" s="4" t="str">
        <f t="shared" si="14"/>
        <v/>
      </c>
    </row>
    <row r="909" spans="16:16" x14ac:dyDescent="0.7">
      <c r="P909" s="4" t="str">
        <f t="shared" si="14"/>
        <v/>
      </c>
    </row>
    <row r="910" spans="16:16" x14ac:dyDescent="0.7">
      <c r="P910" s="4" t="str">
        <f t="shared" si="14"/>
        <v/>
      </c>
    </row>
    <row r="911" spans="16:16" x14ac:dyDescent="0.7">
      <c r="P911" s="4" t="str">
        <f t="shared" si="14"/>
        <v/>
      </c>
    </row>
    <row r="912" spans="16:16" x14ac:dyDescent="0.7">
      <c r="P912" s="4" t="str">
        <f t="shared" si="14"/>
        <v/>
      </c>
    </row>
    <row r="913" spans="16:16" x14ac:dyDescent="0.7">
      <c r="P913" s="4" t="str">
        <f t="shared" si="14"/>
        <v/>
      </c>
    </row>
    <row r="914" spans="16:16" x14ac:dyDescent="0.7">
      <c r="P914" s="4" t="str">
        <f t="shared" si="14"/>
        <v/>
      </c>
    </row>
    <row r="915" spans="16:16" x14ac:dyDescent="0.7">
      <c r="P915" s="4" t="str">
        <f t="shared" si="14"/>
        <v/>
      </c>
    </row>
    <row r="916" spans="16:16" x14ac:dyDescent="0.7">
      <c r="P916" s="4" t="str">
        <f t="shared" si="14"/>
        <v/>
      </c>
    </row>
    <row r="917" spans="16:16" x14ac:dyDescent="0.7">
      <c r="P917" s="4" t="str">
        <f t="shared" si="14"/>
        <v/>
      </c>
    </row>
    <row r="918" spans="16:16" x14ac:dyDescent="0.7">
      <c r="P918" s="4" t="str">
        <f t="shared" si="14"/>
        <v/>
      </c>
    </row>
    <row r="919" spans="16:16" x14ac:dyDescent="0.7">
      <c r="P919" s="4" t="str">
        <f t="shared" si="14"/>
        <v/>
      </c>
    </row>
    <row r="920" spans="16:16" x14ac:dyDescent="0.7">
      <c r="P920" s="4" t="str">
        <f t="shared" si="14"/>
        <v/>
      </c>
    </row>
    <row r="921" spans="16:16" x14ac:dyDescent="0.7">
      <c r="P921" s="4" t="str">
        <f t="shared" si="14"/>
        <v/>
      </c>
    </row>
    <row r="922" spans="16:16" x14ac:dyDescent="0.7">
      <c r="P922" s="4" t="str">
        <f t="shared" si="14"/>
        <v/>
      </c>
    </row>
    <row r="923" spans="16:16" x14ac:dyDescent="0.7">
      <c r="P923" s="4" t="str">
        <f t="shared" si="14"/>
        <v/>
      </c>
    </row>
    <row r="924" spans="16:16" x14ac:dyDescent="0.7">
      <c r="P924" s="4" t="str">
        <f t="shared" si="14"/>
        <v/>
      </c>
    </row>
    <row r="925" spans="16:16" x14ac:dyDescent="0.7">
      <c r="P925" s="4" t="str">
        <f t="shared" si="14"/>
        <v/>
      </c>
    </row>
    <row r="926" spans="16:16" x14ac:dyDescent="0.7">
      <c r="P926" s="4" t="str">
        <f t="shared" si="14"/>
        <v/>
      </c>
    </row>
    <row r="927" spans="16:16" x14ac:dyDescent="0.7">
      <c r="P927" s="4" t="str">
        <f t="shared" si="14"/>
        <v/>
      </c>
    </row>
    <row r="928" spans="16:16" x14ac:dyDescent="0.7">
      <c r="P928" s="4" t="str">
        <f t="shared" si="14"/>
        <v/>
      </c>
    </row>
    <row r="929" spans="16:16" x14ac:dyDescent="0.7">
      <c r="P929" s="4" t="str">
        <f t="shared" si="14"/>
        <v/>
      </c>
    </row>
    <row r="930" spans="16:16" x14ac:dyDescent="0.7">
      <c r="P930" s="4" t="str">
        <f t="shared" si="14"/>
        <v/>
      </c>
    </row>
    <row r="931" spans="16:16" x14ac:dyDescent="0.7">
      <c r="P931" s="4" t="str">
        <f t="shared" si="14"/>
        <v/>
      </c>
    </row>
    <row r="932" spans="16:16" x14ac:dyDescent="0.7">
      <c r="P932" s="4" t="str">
        <f t="shared" si="14"/>
        <v/>
      </c>
    </row>
    <row r="933" spans="16:16" x14ac:dyDescent="0.7">
      <c r="P933" s="4" t="str">
        <f t="shared" si="14"/>
        <v/>
      </c>
    </row>
    <row r="934" spans="16:16" x14ac:dyDescent="0.7">
      <c r="P934" s="4" t="str">
        <f t="shared" si="14"/>
        <v/>
      </c>
    </row>
    <row r="935" spans="16:16" x14ac:dyDescent="0.7">
      <c r="P935" s="4" t="str">
        <f t="shared" si="14"/>
        <v/>
      </c>
    </row>
    <row r="936" spans="16:16" x14ac:dyDescent="0.7">
      <c r="P936" s="4" t="str">
        <f t="shared" si="14"/>
        <v/>
      </c>
    </row>
    <row r="937" spans="16:16" x14ac:dyDescent="0.7">
      <c r="P937" s="4" t="str">
        <f t="shared" si="14"/>
        <v/>
      </c>
    </row>
    <row r="938" spans="16:16" x14ac:dyDescent="0.7">
      <c r="P938" s="4" t="str">
        <f t="shared" si="14"/>
        <v/>
      </c>
    </row>
    <row r="939" spans="16:16" x14ac:dyDescent="0.7">
      <c r="P939" s="4" t="str">
        <f t="shared" si="14"/>
        <v/>
      </c>
    </row>
    <row r="940" spans="16:16" x14ac:dyDescent="0.7">
      <c r="P940" s="4" t="str">
        <f t="shared" si="14"/>
        <v/>
      </c>
    </row>
    <row r="941" spans="16:16" x14ac:dyDescent="0.7">
      <c r="P941" s="4" t="str">
        <f t="shared" si="14"/>
        <v/>
      </c>
    </row>
    <row r="942" spans="16:16" x14ac:dyDescent="0.7">
      <c r="P942" s="4" t="str">
        <f t="shared" si="14"/>
        <v/>
      </c>
    </row>
    <row r="943" spans="16:16" x14ac:dyDescent="0.7">
      <c r="P943" s="4" t="str">
        <f t="shared" si="14"/>
        <v/>
      </c>
    </row>
    <row r="944" spans="16:16" x14ac:dyDescent="0.7">
      <c r="P944" s="4" t="str">
        <f t="shared" si="14"/>
        <v/>
      </c>
    </row>
    <row r="945" spans="16:16" x14ac:dyDescent="0.7">
      <c r="P945" s="4" t="str">
        <f t="shared" si="14"/>
        <v/>
      </c>
    </row>
    <row r="946" spans="16:16" x14ac:dyDescent="0.7">
      <c r="P946" s="4" t="str">
        <f t="shared" si="14"/>
        <v/>
      </c>
    </row>
    <row r="947" spans="16:16" x14ac:dyDescent="0.7">
      <c r="P947" s="4" t="str">
        <f t="shared" si="14"/>
        <v/>
      </c>
    </row>
    <row r="948" spans="16:16" x14ac:dyDescent="0.7">
      <c r="P948" s="4" t="str">
        <f t="shared" si="14"/>
        <v/>
      </c>
    </row>
    <row r="949" spans="16:16" x14ac:dyDescent="0.7">
      <c r="P949" s="4" t="str">
        <f t="shared" si="14"/>
        <v/>
      </c>
    </row>
    <row r="950" spans="16:16" x14ac:dyDescent="0.7">
      <c r="P950" s="4" t="str">
        <f t="shared" si="14"/>
        <v/>
      </c>
    </row>
    <row r="951" spans="16:16" x14ac:dyDescent="0.7">
      <c r="P951" s="4" t="str">
        <f t="shared" si="14"/>
        <v/>
      </c>
    </row>
    <row r="952" spans="16:16" x14ac:dyDescent="0.7">
      <c r="P952" s="4" t="str">
        <f t="shared" si="14"/>
        <v/>
      </c>
    </row>
    <row r="953" spans="16:16" x14ac:dyDescent="0.7">
      <c r="P953" s="4" t="str">
        <f t="shared" si="14"/>
        <v/>
      </c>
    </row>
    <row r="954" spans="16:16" x14ac:dyDescent="0.7">
      <c r="P954" s="4" t="str">
        <f t="shared" si="14"/>
        <v/>
      </c>
    </row>
    <row r="955" spans="16:16" x14ac:dyDescent="0.7">
      <c r="P955" s="4" t="str">
        <f t="shared" si="14"/>
        <v/>
      </c>
    </row>
    <row r="956" spans="16:16" x14ac:dyDescent="0.7">
      <c r="P956" s="4" t="str">
        <f t="shared" si="14"/>
        <v/>
      </c>
    </row>
    <row r="957" spans="16:16" x14ac:dyDescent="0.7">
      <c r="P957" s="4" t="str">
        <f t="shared" si="14"/>
        <v/>
      </c>
    </row>
    <row r="958" spans="16:16" x14ac:dyDescent="0.7">
      <c r="P958" s="4" t="str">
        <f t="shared" si="14"/>
        <v/>
      </c>
    </row>
    <row r="959" spans="16:16" x14ac:dyDescent="0.7">
      <c r="P959" s="4" t="str">
        <f t="shared" si="14"/>
        <v/>
      </c>
    </row>
    <row r="960" spans="16:16" x14ac:dyDescent="0.7">
      <c r="P960" s="4" t="str">
        <f t="shared" si="14"/>
        <v/>
      </c>
    </row>
    <row r="961" spans="16:16" x14ac:dyDescent="0.7">
      <c r="P961" s="4" t="str">
        <f t="shared" si="14"/>
        <v/>
      </c>
    </row>
    <row r="962" spans="16:16" x14ac:dyDescent="0.7">
      <c r="P962" s="4" t="str">
        <f t="shared" si="14"/>
        <v/>
      </c>
    </row>
    <row r="963" spans="16:16" x14ac:dyDescent="0.7">
      <c r="P963" s="4" t="str">
        <f t="shared" si="14"/>
        <v/>
      </c>
    </row>
    <row r="964" spans="16:16" x14ac:dyDescent="0.7">
      <c r="P964" s="4" t="str">
        <f t="shared" si="14"/>
        <v/>
      </c>
    </row>
    <row r="965" spans="16:16" x14ac:dyDescent="0.7">
      <c r="P965" s="4" t="str">
        <f t="shared" si="14"/>
        <v/>
      </c>
    </row>
    <row r="966" spans="16:16" x14ac:dyDescent="0.7">
      <c r="P966" s="4" t="str">
        <f t="shared" si="14"/>
        <v/>
      </c>
    </row>
    <row r="967" spans="16:16" x14ac:dyDescent="0.7">
      <c r="P967" s="4" t="str">
        <f t="shared" ref="P967:P1000" si="15">IF(I967="","",SUMIFS(OrderItems_Qty,OrderItems_Type,"PURCHASE",OrderItems_SKU,I967)-SUMIFS(OrderItems_Qty,OrderItems_Type,"SALE",OrderItems_SKU,I967))</f>
        <v/>
      </c>
    </row>
    <row r="968" spans="16:16" x14ac:dyDescent="0.7">
      <c r="P968" s="4" t="str">
        <f t="shared" si="15"/>
        <v/>
      </c>
    </row>
    <row r="969" spans="16:16" x14ac:dyDescent="0.7">
      <c r="P969" s="4" t="str">
        <f t="shared" si="15"/>
        <v/>
      </c>
    </row>
    <row r="970" spans="16:16" x14ac:dyDescent="0.7">
      <c r="P970" s="4" t="str">
        <f t="shared" si="15"/>
        <v/>
      </c>
    </row>
    <row r="971" spans="16:16" x14ac:dyDescent="0.7">
      <c r="P971" s="4" t="str">
        <f t="shared" si="15"/>
        <v/>
      </c>
    </row>
    <row r="972" spans="16:16" x14ac:dyDescent="0.7">
      <c r="P972" s="4" t="str">
        <f t="shared" si="15"/>
        <v/>
      </c>
    </row>
    <row r="973" spans="16:16" x14ac:dyDescent="0.7">
      <c r="P973" s="4" t="str">
        <f t="shared" si="15"/>
        <v/>
      </c>
    </row>
    <row r="974" spans="16:16" x14ac:dyDescent="0.7">
      <c r="P974" s="4" t="str">
        <f t="shared" si="15"/>
        <v/>
      </c>
    </row>
    <row r="975" spans="16:16" x14ac:dyDescent="0.7">
      <c r="P975" s="4" t="str">
        <f t="shared" si="15"/>
        <v/>
      </c>
    </row>
    <row r="976" spans="16:16" x14ac:dyDescent="0.7">
      <c r="P976" s="4" t="str">
        <f t="shared" si="15"/>
        <v/>
      </c>
    </row>
    <row r="977" spans="16:16" x14ac:dyDescent="0.7">
      <c r="P977" s="4" t="str">
        <f t="shared" si="15"/>
        <v/>
      </c>
    </row>
    <row r="978" spans="16:16" x14ac:dyDescent="0.7">
      <c r="P978" s="4" t="str">
        <f t="shared" si="15"/>
        <v/>
      </c>
    </row>
    <row r="979" spans="16:16" x14ac:dyDescent="0.7">
      <c r="P979" s="4" t="str">
        <f t="shared" si="15"/>
        <v/>
      </c>
    </row>
    <row r="980" spans="16:16" x14ac:dyDescent="0.7">
      <c r="P980" s="4" t="str">
        <f t="shared" si="15"/>
        <v/>
      </c>
    </row>
    <row r="981" spans="16:16" x14ac:dyDescent="0.7">
      <c r="P981" s="4" t="str">
        <f t="shared" si="15"/>
        <v/>
      </c>
    </row>
    <row r="982" spans="16:16" x14ac:dyDescent="0.7">
      <c r="P982" s="4" t="str">
        <f t="shared" si="15"/>
        <v/>
      </c>
    </row>
    <row r="983" spans="16:16" x14ac:dyDescent="0.7">
      <c r="P983" s="4" t="str">
        <f t="shared" si="15"/>
        <v/>
      </c>
    </row>
    <row r="984" spans="16:16" x14ac:dyDescent="0.7">
      <c r="P984" s="4" t="str">
        <f t="shared" si="15"/>
        <v/>
      </c>
    </row>
    <row r="985" spans="16:16" x14ac:dyDescent="0.7">
      <c r="P985" s="4" t="str">
        <f t="shared" si="15"/>
        <v/>
      </c>
    </row>
    <row r="986" spans="16:16" x14ac:dyDescent="0.7">
      <c r="P986" s="4" t="str">
        <f t="shared" si="15"/>
        <v/>
      </c>
    </row>
    <row r="987" spans="16:16" x14ac:dyDescent="0.7">
      <c r="P987" s="4" t="str">
        <f t="shared" si="15"/>
        <v/>
      </c>
    </row>
    <row r="988" spans="16:16" x14ac:dyDescent="0.7">
      <c r="P988" s="4" t="str">
        <f t="shared" si="15"/>
        <v/>
      </c>
    </row>
    <row r="989" spans="16:16" x14ac:dyDescent="0.7">
      <c r="P989" s="4" t="str">
        <f t="shared" si="15"/>
        <v/>
      </c>
    </row>
    <row r="990" spans="16:16" x14ac:dyDescent="0.7">
      <c r="P990" s="4" t="str">
        <f t="shared" si="15"/>
        <v/>
      </c>
    </row>
    <row r="991" spans="16:16" x14ac:dyDescent="0.7">
      <c r="P991" s="4" t="str">
        <f t="shared" si="15"/>
        <v/>
      </c>
    </row>
    <row r="992" spans="16:16" x14ac:dyDescent="0.7">
      <c r="P992" s="4" t="str">
        <f t="shared" si="15"/>
        <v/>
      </c>
    </row>
    <row r="993" spans="16:16" x14ac:dyDescent="0.7">
      <c r="P993" s="4" t="str">
        <f t="shared" si="15"/>
        <v/>
      </c>
    </row>
    <row r="994" spans="16:16" x14ac:dyDescent="0.7">
      <c r="P994" s="4" t="str">
        <f t="shared" si="15"/>
        <v/>
      </c>
    </row>
    <row r="995" spans="16:16" x14ac:dyDescent="0.7">
      <c r="P995" s="4" t="str">
        <f t="shared" si="15"/>
        <v/>
      </c>
    </row>
    <row r="996" spans="16:16" x14ac:dyDescent="0.7">
      <c r="P996" s="4" t="str">
        <f t="shared" si="15"/>
        <v/>
      </c>
    </row>
    <row r="997" spans="16:16" x14ac:dyDescent="0.7">
      <c r="P997" s="4" t="str">
        <f t="shared" si="15"/>
        <v/>
      </c>
    </row>
    <row r="998" spans="16:16" x14ac:dyDescent="0.7">
      <c r="P998" s="4" t="str">
        <f t="shared" si="15"/>
        <v/>
      </c>
    </row>
    <row r="999" spans="16:16" x14ac:dyDescent="0.7">
      <c r="P999" s="4" t="str">
        <f t="shared" si="15"/>
        <v/>
      </c>
    </row>
    <row r="1000" spans="16:16" x14ac:dyDescent="0.7">
      <c r="P1000" s="4" t="str">
        <f t="shared" si="15"/>
        <v/>
      </c>
    </row>
  </sheetData>
  <mergeCells count="6">
    <mergeCell ref="D3:F3"/>
    <mergeCell ref="P5:P6"/>
    <mergeCell ref="O3:P3"/>
    <mergeCell ref="L3:M3"/>
    <mergeCell ref="N4:O4"/>
    <mergeCell ref="L4:M4"/>
  </mergeCells>
  <conditionalFormatting sqref="I7:O999">
    <cfRule type="expression" dxfId="9" priority="13">
      <formula>AND($I6&lt;&gt;"",MOD(ROW(),2)=1)</formula>
    </cfRule>
    <cfRule type="expression" dxfId="8" priority="12">
      <formula>AND($I6&lt;&gt;"",MOD(ROW(),2)=0)</formula>
    </cfRule>
    <cfRule type="expression" dxfId="7" priority="11">
      <formula>$I6=""</formula>
    </cfRule>
    <cfRule type="expression" dxfId="6" priority="10">
      <formula>$B$6=ROW()</formula>
    </cfRule>
  </conditionalFormatting>
  <conditionalFormatting sqref="I3:J3">
    <cfRule type="containsText" dxfId="5" priority="9" operator="containsText" text="Enter">
      <formula>NOT(ISERROR(SEARCH("Enter",I3)))</formula>
    </cfRule>
  </conditionalFormatting>
  <conditionalFormatting sqref="D5:F999">
    <cfRule type="expression" dxfId="4" priority="5">
      <formula>$B$8=ROW()</formula>
    </cfRule>
    <cfRule type="expression" dxfId="3" priority="7">
      <formula>AND($D5&lt;&gt;"",MOD(ROW(),2)=0)</formula>
    </cfRule>
    <cfRule type="expression" dxfId="2" priority="8">
      <formula>AND($D5&lt;&gt;"",MOD(ROW(),2)=1)</formula>
    </cfRule>
  </conditionalFormatting>
  <conditionalFormatting sqref="P7:P999">
    <cfRule type="expression" dxfId="1" priority="3">
      <formula>AND($I6&lt;&gt;"",MOD(ROW(),2)=0)</formula>
    </cfRule>
    <cfRule type="expression" dxfId="0" priority="4">
      <formula>AND($I6&lt;&gt;"",MOD(ROW(),2)=1)</formula>
    </cfRule>
  </conditionalFormatting>
  <dataValidations count="2">
    <dataValidation type="list" allowBlank="1" showInputMessage="1" showErrorMessage="1" sqref="J5" xr:uid="{00000000-0002-0000-0100-000000000000}">
      <formula1>Prod_SKU</formula1>
    </dataValidation>
    <dataValidation type="list" errorStyle="information" allowBlank="1" showInputMessage="1" showErrorMessage="1" sqref="J4" xr:uid="{00000000-0002-0000-0100-000001000000}">
      <formula1>Customer_NamesSorted</formula1>
    </dataValidation>
  </dataValidations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Orders"/>
  <dimension ref="A1:Q34"/>
  <sheetViews>
    <sheetView zoomScaleNormal="100" workbookViewId="0">
      <selection activeCell="E18" sqref="E18"/>
    </sheetView>
  </sheetViews>
  <sheetFormatPr defaultRowHeight="16.2" x14ac:dyDescent="0.7"/>
  <cols>
    <col min="1" max="1" width="8.68359375" style="4" bestFit="1" customWidth="1"/>
    <col min="2" max="2" width="15.7890625" style="4" bestFit="1" customWidth="1"/>
    <col min="3" max="3" width="10.15625" style="4" bestFit="1" customWidth="1"/>
    <col min="4" max="4" width="6.41796875" style="4" bestFit="1" customWidth="1"/>
    <col min="5" max="5" width="17.26171875" style="4" bestFit="1" customWidth="1"/>
    <col min="6" max="6" width="12.47265625" style="4" bestFit="1" customWidth="1"/>
    <col min="7" max="7" width="10.1015625" style="4" bestFit="1" customWidth="1"/>
    <col min="8" max="10" width="8.83984375" style="4"/>
    <col min="11" max="11" width="4.89453125" style="4" bestFit="1" customWidth="1"/>
    <col min="12" max="12" width="16.15625" style="4" bestFit="1" customWidth="1"/>
    <col min="13" max="14" width="8.83984375" style="4"/>
    <col min="15" max="15" width="15.7890625" style="4" bestFit="1" customWidth="1"/>
    <col min="16" max="16" width="16.15625" style="4" bestFit="1" customWidth="1"/>
    <col min="17" max="17" width="8.1015625" style="4" bestFit="1" customWidth="1"/>
    <col min="18" max="16384" width="8.83984375" style="4"/>
  </cols>
  <sheetData>
    <row r="1" spans="1:17" x14ac:dyDescent="0.7">
      <c r="A1" s="115" t="s">
        <v>24</v>
      </c>
      <c r="B1" s="115"/>
      <c r="C1" s="115"/>
      <c r="D1" s="115"/>
      <c r="E1" s="115"/>
      <c r="F1" s="115"/>
      <c r="G1" s="115"/>
      <c r="K1" s="114" t="s">
        <v>116</v>
      </c>
      <c r="L1" s="114"/>
      <c r="O1" s="113" t="s">
        <v>117</v>
      </c>
      <c r="P1" s="113"/>
      <c r="Q1" s="113"/>
    </row>
    <row r="2" spans="1:17" x14ac:dyDescent="0.7">
      <c r="A2" s="81" t="s">
        <v>13</v>
      </c>
      <c r="B2" s="81" t="s">
        <v>58</v>
      </c>
      <c r="C2" s="81" t="s">
        <v>22</v>
      </c>
      <c r="D2" s="81" t="s">
        <v>26</v>
      </c>
      <c r="E2" s="81" t="s">
        <v>113</v>
      </c>
      <c r="F2" s="81" t="s">
        <v>1</v>
      </c>
      <c r="G2" s="81" t="s">
        <v>19</v>
      </c>
      <c r="K2" s="82" t="s">
        <v>22</v>
      </c>
      <c r="L2" s="82" t="s">
        <v>113</v>
      </c>
      <c r="O2" s="83" t="s">
        <v>58</v>
      </c>
      <c r="P2" s="83" t="s">
        <v>113</v>
      </c>
      <c r="Q2" s="83" t="s">
        <v>13</v>
      </c>
    </row>
    <row r="3" spans="1:17" x14ac:dyDescent="0.7">
      <c r="A3" s="58">
        <v>10000</v>
      </c>
      <c r="B3" s="84">
        <v>44387.654710648145</v>
      </c>
      <c r="C3" s="4" t="s">
        <v>724</v>
      </c>
      <c r="D3" s="4" t="s">
        <v>28</v>
      </c>
      <c r="E3" s="4" t="s">
        <v>32</v>
      </c>
      <c r="F3" s="4" t="s">
        <v>469</v>
      </c>
      <c r="G3" s="85">
        <v>35</v>
      </c>
      <c r="K3" s="86" t="str">
        <f>POS!B1</f>
        <v>SALE</v>
      </c>
      <c r="L3" s="4" t="s">
        <v>785</v>
      </c>
      <c r="O3" s="84">
        <v>44387.655219907407</v>
      </c>
      <c r="P3" s="4" t="s">
        <v>71</v>
      </c>
      <c r="Q3" s="58">
        <v>10002</v>
      </c>
    </row>
    <row r="4" spans="1:17" x14ac:dyDescent="0.7">
      <c r="A4" s="58">
        <v>10001</v>
      </c>
      <c r="B4" s="84">
        <v>44387.612037037034</v>
      </c>
      <c r="C4" s="4" t="s">
        <v>23</v>
      </c>
      <c r="D4" s="4" t="s">
        <v>27</v>
      </c>
      <c r="E4" s="4" t="s">
        <v>32</v>
      </c>
      <c r="F4" s="4" t="s">
        <v>469</v>
      </c>
      <c r="O4" s="84">
        <v>44387.654513888891</v>
      </c>
      <c r="P4" s="4" t="s">
        <v>71</v>
      </c>
      <c r="Q4" s="58">
        <v>10006</v>
      </c>
    </row>
    <row r="5" spans="1:17" x14ac:dyDescent="0.7">
      <c r="A5" s="58">
        <v>10002</v>
      </c>
      <c r="B5" s="84">
        <v>44388.34646990741</v>
      </c>
      <c r="C5" s="4" t="s">
        <v>23</v>
      </c>
      <c r="D5" s="4" t="s">
        <v>28</v>
      </c>
      <c r="E5" s="4" t="s">
        <v>71</v>
      </c>
      <c r="F5" s="4" t="s">
        <v>469</v>
      </c>
      <c r="G5" s="85">
        <v>25</v>
      </c>
      <c r="O5" s="84"/>
      <c r="Q5" s="58"/>
    </row>
    <row r="6" spans="1:17" x14ac:dyDescent="0.7">
      <c r="A6" s="58">
        <v>10003</v>
      </c>
      <c r="B6" s="84">
        <v>44388.347291666665</v>
      </c>
      <c r="C6" s="4" t="s">
        <v>724</v>
      </c>
      <c r="D6" s="4" t="s">
        <v>27</v>
      </c>
      <c r="E6" s="4" t="s">
        <v>71</v>
      </c>
      <c r="F6" s="4" t="s">
        <v>469</v>
      </c>
      <c r="O6" s="84"/>
      <c r="Q6" s="58"/>
    </row>
    <row r="7" spans="1:17" x14ac:dyDescent="0.7">
      <c r="A7" s="58">
        <v>10004</v>
      </c>
      <c r="B7" s="84">
        <v>44388.249675925923</v>
      </c>
      <c r="C7" s="4" t="s">
        <v>724</v>
      </c>
      <c r="D7" s="4" t="s">
        <v>28</v>
      </c>
      <c r="E7" s="4" t="s">
        <v>32</v>
      </c>
      <c r="F7" s="4" t="s">
        <v>468</v>
      </c>
      <c r="G7" s="85">
        <v>15</v>
      </c>
    </row>
    <row r="8" spans="1:17" x14ac:dyDescent="0.7">
      <c r="A8" s="58">
        <v>10005</v>
      </c>
      <c r="B8" s="84">
        <v>44387.654247685183</v>
      </c>
      <c r="C8" s="4" t="s">
        <v>724</v>
      </c>
      <c r="D8" s="4" t="s">
        <v>27</v>
      </c>
      <c r="E8" s="4" t="s">
        <v>32</v>
      </c>
      <c r="F8" s="4" t="s">
        <v>468</v>
      </c>
      <c r="G8" s="85"/>
    </row>
    <row r="9" spans="1:17" x14ac:dyDescent="0.7">
      <c r="A9" s="58">
        <v>10006</v>
      </c>
      <c r="B9" s="84">
        <v>44387.654513888891</v>
      </c>
      <c r="C9" s="4" t="s">
        <v>724</v>
      </c>
      <c r="D9" s="4" t="s">
        <v>27</v>
      </c>
      <c r="E9" s="4" t="s">
        <v>71</v>
      </c>
      <c r="F9" s="4" t="s">
        <v>468</v>
      </c>
    </row>
    <row r="10" spans="1:17" x14ac:dyDescent="0.7">
      <c r="A10" s="58">
        <v>10007</v>
      </c>
      <c r="B10" s="84">
        <v>44387.655636574076</v>
      </c>
      <c r="C10" s="4" t="s">
        <v>724</v>
      </c>
      <c r="D10" s="4" t="s">
        <v>28</v>
      </c>
      <c r="E10" s="4" t="s">
        <v>32</v>
      </c>
      <c r="F10" s="4" t="s">
        <v>469</v>
      </c>
      <c r="G10" s="85">
        <v>35</v>
      </c>
    </row>
    <row r="11" spans="1:17" x14ac:dyDescent="0.7">
      <c r="A11" s="58">
        <v>10008</v>
      </c>
      <c r="B11" s="84">
        <v>44388.346932870372</v>
      </c>
      <c r="C11" s="4" t="s">
        <v>724</v>
      </c>
      <c r="D11" s="4" t="s">
        <v>27</v>
      </c>
      <c r="E11" s="4" t="s">
        <v>71</v>
      </c>
      <c r="F11" s="4" t="s">
        <v>32</v>
      </c>
      <c r="G11" s="85">
        <v>20</v>
      </c>
    </row>
    <row r="12" spans="1:17" x14ac:dyDescent="0.7">
      <c r="A12" s="58">
        <v>10009</v>
      </c>
      <c r="B12" s="84">
        <v>44388.266574074078</v>
      </c>
      <c r="C12" s="4" t="s">
        <v>23</v>
      </c>
      <c r="D12" s="4" t="s">
        <v>28</v>
      </c>
      <c r="E12" s="4" t="s">
        <v>71</v>
      </c>
      <c r="F12" s="4" t="s">
        <v>470</v>
      </c>
      <c r="G12" s="85">
        <v>20</v>
      </c>
    </row>
    <row r="13" spans="1:17" x14ac:dyDescent="0.7">
      <c r="A13" s="58">
        <v>10010</v>
      </c>
      <c r="B13" s="84">
        <v>44388.339907407404</v>
      </c>
      <c r="C13" s="4" t="s">
        <v>23</v>
      </c>
      <c r="D13" s="4" t="s">
        <v>27</v>
      </c>
      <c r="E13" s="4" t="s">
        <v>32</v>
      </c>
      <c r="F13" s="4" t="s">
        <v>468</v>
      </c>
    </row>
    <row r="14" spans="1:17" x14ac:dyDescent="0.7">
      <c r="A14" s="58"/>
    </row>
    <row r="15" spans="1:17" x14ac:dyDescent="0.7">
      <c r="A15" s="58"/>
    </row>
    <row r="16" spans="1:17" x14ac:dyDescent="0.7">
      <c r="A16" s="58"/>
    </row>
    <row r="17" spans="1:1" x14ac:dyDescent="0.7">
      <c r="A17" s="58"/>
    </row>
    <row r="18" spans="1:1" x14ac:dyDescent="0.7">
      <c r="A18" s="58"/>
    </row>
    <row r="19" spans="1:1" x14ac:dyDescent="0.7">
      <c r="A19" s="58"/>
    </row>
    <row r="20" spans="1:1" x14ac:dyDescent="0.7">
      <c r="A20" s="58"/>
    </row>
    <row r="21" spans="1:1" x14ac:dyDescent="0.7">
      <c r="A21" s="58"/>
    </row>
    <row r="22" spans="1:1" x14ac:dyDescent="0.7">
      <c r="A22" s="58"/>
    </row>
    <row r="23" spans="1:1" x14ac:dyDescent="0.7">
      <c r="A23" s="58"/>
    </row>
    <row r="24" spans="1:1" x14ac:dyDescent="0.7">
      <c r="A24" s="58"/>
    </row>
    <row r="25" spans="1:1" x14ac:dyDescent="0.7">
      <c r="A25" s="58"/>
    </row>
    <row r="26" spans="1:1" x14ac:dyDescent="0.7">
      <c r="A26" s="58"/>
    </row>
    <row r="27" spans="1:1" x14ac:dyDescent="0.7">
      <c r="A27" s="58"/>
    </row>
    <row r="28" spans="1:1" x14ac:dyDescent="0.7">
      <c r="A28" s="58"/>
    </row>
    <row r="29" spans="1:1" x14ac:dyDescent="0.7">
      <c r="A29" s="58"/>
    </row>
    <row r="30" spans="1:1" x14ac:dyDescent="0.7">
      <c r="A30" s="58"/>
    </row>
    <row r="31" spans="1:1" x14ac:dyDescent="0.7">
      <c r="A31" s="58"/>
    </row>
    <row r="32" spans="1:1" x14ac:dyDescent="0.7">
      <c r="A32" s="58"/>
    </row>
    <row r="33" spans="1:1" x14ac:dyDescent="0.7">
      <c r="A33" s="58"/>
    </row>
    <row r="34" spans="1:1" x14ac:dyDescent="0.7">
      <c r="A34" s="58"/>
    </row>
  </sheetData>
  <mergeCells count="3">
    <mergeCell ref="O1:Q1"/>
    <mergeCell ref="K1:L1"/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OrderItems"/>
  <dimension ref="A1:W186"/>
  <sheetViews>
    <sheetView workbookViewId="0">
      <selection activeCell="S10" sqref="S10"/>
    </sheetView>
  </sheetViews>
  <sheetFormatPr defaultRowHeight="16.2" x14ac:dyDescent="0.7"/>
  <cols>
    <col min="1" max="1" width="8.83984375" style="4"/>
    <col min="2" max="2" width="10.26171875" style="4" bestFit="1" customWidth="1"/>
    <col min="3" max="4" width="8.83984375" style="4"/>
    <col min="5" max="5" width="18.3671875" style="4" bestFit="1" customWidth="1"/>
    <col min="6" max="7" width="8.83984375" style="4"/>
    <col min="8" max="8" width="10.41796875" style="4" bestFit="1" customWidth="1"/>
    <col min="9" max="9" width="8.83984375" style="4"/>
    <col min="10" max="10" width="10.41796875" style="4" bestFit="1" customWidth="1"/>
    <col min="11" max="16" width="8.83984375" style="4"/>
    <col min="17" max="18" width="9.15625" style="4"/>
    <col min="19" max="19" width="13.89453125" style="4" bestFit="1" customWidth="1"/>
    <col min="20" max="22" width="9.15625" style="4"/>
    <col min="23" max="23" width="10.41796875" style="4" bestFit="1" customWidth="1"/>
    <col min="24" max="16384" width="8.83984375" style="4"/>
  </cols>
  <sheetData>
    <row r="1" spans="1:23" x14ac:dyDescent="0.7">
      <c r="A1" s="116" t="s">
        <v>335</v>
      </c>
      <c r="B1" s="116"/>
      <c r="C1" s="116"/>
      <c r="D1" s="116"/>
      <c r="E1" s="116"/>
      <c r="F1" s="116"/>
      <c r="G1" s="116"/>
      <c r="H1" s="116"/>
      <c r="I1" s="116"/>
      <c r="J1" s="116"/>
      <c r="N1" s="118" t="s">
        <v>116</v>
      </c>
      <c r="O1" s="118"/>
      <c r="Q1" s="117" t="s">
        <v>117</v>
      </c>
      <c r="R1" s="117"/>
      <c r="S1" s="117"/>
      <c r="T1" s="117"/>
      <c r="U1" s="117"/>
      <c r="V1" s="117"/>
      <c r="W1" s="117"/>
    </row>
    <row r="2" spans="1:23" x14ac:dyDescent="0.7">
      <c r="A2" s="87" t="s">
        <v>13</v>
      </c>
      <c r="B2" s="87" t="s">
        <v>22</v>
      </c>
      <c r="C2" s="87" t="s">
        <v>334</v>
      </c>
      <c r="D2" s="87" t="s">
        <v>333</v>
      </c>
      <c r="E2" s="87" t="s">
        <v>4</v>
      </c>
      <c r="F2" s="87" t="s">
        <v>5</v>
      </c>
      <c r="G2" s="87" t="s">
        <v>6</v>
      </c>
      <c r="H2" s="87" t="s">
        <v>7</v>
      </c>
      <c r="I2" s="87" t="s">
        <v>8</v>
      </c>
      <c r="J2" s="87" t="s">
        <v>118</v>
      </c>
      <c r="N2" s="89" t="s">
        <v>13</v>
      </c>
      <c r="O2" s="89" t="s">
        <v>22</v>
      </c>
      <c r="Q2" s="87" t="s">
        <v>334</v>
      </c>
      <c r="R2" s="87" t="s">
        <v>333</v>
      </c>
      <c r="S2" s="87" t="s">
        <v>4</v>
      </c>
      <c r="T2" s="87" t="s">
        <v>5</v>
      </c>
      <c r="U2" s="87" t="s">
        <v>6</v>
      </c>
      <c r="V2" s="87" t="s">
        <v>7</v>
      </c>
      <c r="W2" s="87" t="s">
        <v>118</v>
      </c>
    </row>
    <row r="3" spans="1:23" x14ac:dyDescent="0.7">
      <c r="A3" s="4">
        <v>10000</v>
      </c>
      <c r="B3" s="4" t="s">
        <v>724</v>
      </c>
      <c r="C3" s="4">
        <v>3</v>
      </c>
      <c r="D3" s="4">
        <v>8085820</v>
      </c>
      <c r="E3" s="4" t="s">
        <v>410</v>
      </c>
      <c r="F3" s="4">
        <v>1</v>
      </c>
      <c r="G3" s="88">
        <v>2.79</v>
      </c>
      <c r="I3" s="88">
        <v>2.79</v>
      </c>
      <c r="J3" s="4">
        <v>7</v>
      </c>
      <c r="N3" s="89">
        <f>POS!P4</f>
        <v>10011</v>
      </c>
      <c r="O3" s="89" t="s">
        <v>459</v>
      </c>
      <c r="Q3" s="4">
        <v>13</v>
      </c>
      <c r="R3" s="4">
        <v>8153850</v>
      </c>
      <c r="S3" s="4" t="s">
        <v>399</v>
      </c>
      <c r="T3" s="4">
        <v>3</v>
      </c>
      <c r="U3" s="85">
        <v>3.48</v>
      </c>
      <c r="W3" s="4">
        <v>7</v>
      </c>
    </row>
    <row r="4" spans="1:23" x14ac:dyDescent="0.7">
      <c r="A4" s="4">
        <v>10000</v>
      </c>
      <c r="B4" s="4" t="s">
        <v>724</v>
      </c>
      <c r="C4" s="4">
        <v>4</v>
      </c>
      <c r="D4" s="4">
        <v>5785912</v>
      </c>
      <c r="E4" s="4" t="s">
        <v>411</v>
      </c>
      <c r="F4" s="4">
        <v>3</v>
      </c>
      <c r="G4" s="88">
        <v>3.22</v>
      </c>
      <c r="I4" s="88">
        <v>9.66</v>
      </c>
      <c r="J4" s="4">
        <v>8</v>
      </c>
      <c r="Q4" s="4">
        <v>14</v>
      </c>
      <c r="R4" s="4">
        <v>5065473</v>
      </c>
      <c r="S4" s="4" t="s">
        <v>401</v>
      </c>
      <c r="T4" s="4">
        <v>1</v>
      </c>
      <c r="U4" s="85">
        <v>3.36</v>
      </c>
      <c r="W4" s="4">
        <v>8</v>
      </c>
    </row>
    <row r="5" spans="1:23" x14ac:dyDescent="0.7">
      <c r="A5" s="4">
        <v>10000</v>
      </c>
      <c r="B5" s="4" t="s">
        <v>724</v>
      </c>
      <c r="C5" s="4">
        <v>5</v>
      </c>
      <c r="D5" s="4">
        <v>1469315</v>
      </c>
      <c r="E5" s="4" t="s">
        <v>699</v>
      </c>
      <c r="F5" s="4">
        <v>3</v>
      </c>
      <c r="G5" s="88">
        <v>3.3</v>
      </c>
      <c r="H5" s="4">
        <v>0.1</v>
      </c>
      <c r="I5" s="88">
        <v>8.91</v>
      </c>
      <c r="J5" s="4">
        <v>9</v>
      </c>
      <c r="Q5" s="4">
        <v>15</v>
      </c>
      <c r="R5" s="4">
        <v>1874117</v>
      </c>
      <c r="S5" s="4" t="s">
        <v>400</v>
      </c>
      <c r="T5" s="4">
        <v>1</v>
      </c>
      <c r="U5" s="85">
        <v>2.71</v>
      </c>
      <c r="W5" s="4">
        <v>9</v>
      </c>
    </row>
    <row r="6" spans="1:23" x14ac:dyDescent="0.7">
      <c r="A6" s="4">
        <v>10000</v>
      </c>
      <c r="B6" s="4" t="s">
        <v>724</v>
      </c>
      <c r="C6" s="4">
        <v>6</v>
      </c>
      <c r="D6" s="4">
        <v>6368270</v>
      </c>
      <c r="E6" s="4" t="s">
        <v>700</v>
      </c>
      <c r="F6" s="4">
        <v>1</v>
      </c>
      <c r="G6" s="88">
        <v>3.63</v>
      </c>
      <c r="I6" s="88">
        <v>3.63</v>
      </c>
      <c r="J6" s="4">
        <v>10</v>
      </c>
      <c r="Q6" s="4">
        <v>29</v>
      </c>
      <c r="R6" s="4">
        <v>4613571</v>
      </c>
      <c r="S6" s="4" t="s">
        <v>476</v>
      </c>
      <c r="T6" s="4">
        <v>4</v>
      </c>
      <c r="U6" s="85">
        <v>3.38</v>
      </c>
      <c r="W6" s="4">
        <v>10</v>
      </c>
    </row>
    <row r="7" spans="1:23" x14ac:dyDescent="0.7">
      <c r="A7" s="4">
        <v>10000</v>
      </c>
      <c r="B7" s="4" t="s">
        <v>724</v>
      </c>
      <c r="C7" s="4">
        <v>7</v>
      </c>
      <c r="D7" s="4">
        <v>2534937</v>
      </c>
      <c r="E7" s="4" t="s">
        <v>172</v>
      </c>
      <c r="F7" s="4">
        <v>1</v>
      </c>
      <c r="G7" s="88">
        <v>2.13</v>
      </c>
      <c r="I7" s="88">
        <v>2.13</v>
      </c>
      <c r="J7" s="4">
        <v>11</v>
      </c>
      <c r="Q7" s="4">
        <v>30</v>
      </c>
      <c r="R7" s="4">
        <v>4764241</v>
      </c>
      <c r="S7" s="4" t="s">
        <v>477</v>
      </c>
      <c r="T7" s="4">
        <v>2</v>
      </c>
      <c r="U7" s="85">
        <v>2.0499999999999998</v>
      </c>
      <c r="W7" s="4">
        <v>11</v>
      </c>
    </row>
    <row r="8" spans="1:23" x14ac:dyDescent="0.7">
      <c r="A8" s="4">
        <v>10000</v>
      </c>
      <c r="B8" s="4" t="s">
        <v>724</v>
      </c>
      <c r="C8" s="4">
        <v>8</v>
      </c>
      <c r="D8" s="4">
        <v>7355348</v>
      </c>
      <c r="E8" s="4" t="s">
        <v>529</v>
      </c>
      <c r="F8" s="4">
        <v>1</v>
      </c>
      <c r="G8" s="88">
        <v>3.07</v>
      </c>
      <c r="I8" s="88">
        <v>3.07</v>
      </c>
      <c r="J8" s="4">
        <v>12</v>
      </c>
      <c r="Q8" s="4">
        <v>31</v>
      </c>
      <c r="R8" s="4">
        <v>5858103</v>
      </c>
      <c r="S8" s="4" t="s">
        <v>124</v>
      </c>
      <c r="T8" s="4">
        <v>4</v>
      </c>
      <c r="U8" s="85">
        <v>3.61</v>
      </c>
      <c r="W8" s="4">
        <v>12</v>
      </c>
    </row>
    <row r="9" spans="1:23" x14ac:dyDescent="0.7">
      <c r="A9" s="4">
        <v>10001</v>
      </c>
      <c r="B9" s="4" t="s">
        <v>23</v>
      </c>
      <c r="C9" s="4">
        <v>9</v>
      </c>
      <c r="D9" s="4">
        <v>5785912</v>
      </c>
      <c r="E9" s="4" t="s">
        <v>411</v>
      </c>
      <c r="F9" s="4">
        <v>1</v>
      </c>
      <c r="G9" s="88">
        <v>3.22</v>
      </c>
      <c r="I9" s="88">
        <v>3.22</v>
      </c>
      <c r="J9" s="4">
        <v>7</v>
      </c>
      <c r="Q9" s="4">
        <v>32</v>
      </c>
      <c r="R9" s="4">
        <v>9910370</v>
      </c>
      <c r="S9" s="4" t="s">
        <v>478</v>
      </c>
      <c r="T9" s="4">
        <v>3</v>
      </c>
      <c r="U9" s="85">
        <v>2.62</v>
      </c>
      <c r="W9" s="4">
        <v>13</v>
      </c>
    </row>
    <row r="10" spans="1:23" x14ac:dyDescent="0.7">
      <c r="A10" s="4">
        <v>10001</v>
      </c>
      <c r="B10" s="4" t="s">
        <v>23</v>
      </c>
      <c r="C10" s="4">
        <v>10</v>
      </c>
      <c r="D10" s="4">
        <v>1469315</v>
      </c>
      <c r="E10" s="4" t="s">
        <v>699</v>
      </c>
      <c r="F10" s="4">
        <v>1</v>
      </c>
      <c r="G10" s="88">
        <v>3.3</v>
      </c>
      <c r="I10" s="88">
        <v>3.3</v>
      </c>
      <c r="J10" s="4">
        <v>8</v>
      </c>
      <c r="Q10" s="4">
        <v>33</v>
      </c>
      <c r="R10" s="4">
        <v>2553863</v>
      </c>
      <c r="S10" s="4" t="s">
        <v>337</v>
      </c>
      <c r="T10" s="4">
        <v>1</v>
      </c>
      <c r="U10" s="85">
        <v>3.5</v>
      </c>
      <c r="W10" s="4">
        <v>14</v>
      </c>
    </row>
    <row r="11" spans="1:23" x14ac:dyDescent="0.7">
      <c r="A11" s="4">
        <v>10002</v>
      </c>
      <c r="B11" s="4" t="s">
        <v>23</v>
      </c>
      <c r="C11" s="4">
        <v>11</v>
      </c>
      <c r="D11" s="4">
        <v>9591156</v>
      </c>
      <c r="E11" s="4" t="s">
        <v>386</v>
      </c>
      <c r="F11" s="4">
        <v>5</v>
      </c>
      <c r="G11" s="88">
        <v>1.44</v>
      </c>
      <c r="I11" s="88">
        <v>7.2</v>
      </c>
      <c r="J11" s="4">
        <v>7</v>
      </c>
      <c r="Q11" s="4">
        <v>46</v>
      </c>
      <c r="R11" s="4">
        <v>3700684</v>
      </c>
      <c r="S11" s="4" t="s">
        <v>297</v>
      </c>
      <c r="T11" s="4">
        <v>1</v>
      </c>
      <c r="U11" s="85">
        <v>3.65</v>
      </c>
      <c r="W11" s="4">
        <v>15</v>
      </c>
    </row>
    <row r="12" spans="1:23" x14ac:dyDescent="0.7">
      <c r="A12" s="4">
        <v>10002</v>
      </c>
      <c r="B12" s="4" t="s">
        <v>23</v>
      </c>
      <c r="C12" s="4">
        <v>12</v>
      </c>
      <c r="D12" s="4">
        <v>3387090</v>
      </c>
      <c r="E12" s="4" t="s">
        <v>404</v>
      </c>
      <c r="F12" s="4">
        <v>4</v>
      </c>
      <c r="G12" s="88">
        <v>1.08</v>
      </c>
      <c r="I12" s="88">
        <v>4.32</v>
      </c>
      <c r="J12" s="4">
        <v>8</v>
      </c>
    </row>
    <row r="13" spans="1:23" x14ac:dyDescent="0.7">
      <c r="A13" s="4">
        <v>10003</v>
      </c>
      <c r="B13" s="4" t="s">
        <v>724</v>
      </c>
      <c r="C13" s="4">
        <v>13</v>
      </c>
      <c r="D13" s="4">
        <v>8153850</v>
      </c>
      <c r="E13" s="4" t="s">
        <v>399</v>
      </c>
      <c r="F13" s="4">
        <v>3</v>
      </c>
      <c r="G13" s="88">
        <v>3.48</v>
      </c>
      <c r="I13" s="88">
        <v>10.44</v>
      </c>
      <c r="J13" s="4">
        <v>7</v>
      </c>
    </row>
    <row r="14" spans="1:23" x14ac:dyDescent="0.7">
      <c r="A14" s="4">
        <v>10003</v>
      </c>
      <c r="B14" s="4" t="s">
        <v>724</v>
      </c>
      <c r="C14" s="4">
        <v>14</v>
      </c>
      <c r="D14" s="4">
        <v>5065473</v>
      </c>
      <c r="E14" s="4" t="s">
        <v>401</v>
      </c>
      <c r="F14" s="4">
        <v>1</v>
      </c>
      <c r="G14" s="88">
        <v>3.36</v>
      </c>
      <c r="I14" s="88">
        <v>3.36</v>
      </c>
      <c r="J14" s="4">
        <v>8</v>
      </c>
    </row>
    <row r="15" spans="1:23" x14ac:dyDescent="0.7">
      <c r="A15" s="4">
        <v>10003</v>
      </c>
      <c r="B15" s="4" t="s">
        <v>724</v>
      </c>
      <c r="C15" s="4">
        <v>15</v>
      </c>
      <c r="D15" s="4">
        <v>1874117</v>
      </c>
      <c r="E15" s="4" t="s">
        <v>400</v>
      </c>
      <c r="F15" s="4">
        <v>1</v>
      </c>
      <c r="G15" s="88">
        <v>2.71</v>
      </c>
      <c r="I15" s="88">
        <v>2.71</v>
      </c>
      <c r="J15" s="4">
        <v>9</v>
      </c>
    </row>
    <row r="16" spans="1:23" x14ac:dyDescent="0.7">
      <c r="A16" s="4">
        <v>10004</v>
      </c>
      <c r="B16" s="4" t="s">
        <v>724</v>
      </c>
      <c r="C16" s="4">
        <v>16</v>
      </c>
      <c r="D16" s="4">
        <v>1545154</v>
      </c>
      <c r="E16" s="4" t="s">
        <v>123</v>
      </c>
      <c r="F16" s="4">
        <v>3</v>
      </c>
      <c r="G16" s="88">
        <v>1.49</v>
      </c>
      <c r="I16" s="88">
        <v>4.47</v>
      </c>
      <c r="J16" s="4">
        <v>7</v>
      </c>
    </row>
    <row r="17" spans="1:10" x14ac:dyDescent="0.7">
      <c r="A17" s="4">
        <v>10004</v>
      </c>
      <c r="B17" s="4" t="s">
        <v>724</v>
      </c>
      <c r="C17" s="4">
        <v>17</v>
      </c>
      <c r="D17" s="4">
        <v>5858103</v>
      </c>
      <c r="E17" s="4" t="s">
        <v>124</v>
      </c>
      <c r="F17" s="4">
        <v>2</v>
      </c>
      <c r="G17" s="88">
        <v>1.53</v>
      </c>
      <c r="I17" s="88">
        <v>3.06</v>
      </c>
      <c r="J17" s="4">
        <v>8</v>
      </c>
    </row>
    <row r="18" spans="1:10" x14ac:dyDescent="0.7">
      <c r="A18" s="4">
        <v>10004</v>
      </c>
      <c r="B18" s="4" t="s">
        <v>724</v>
      </c>
      <c r="C18" s="4">
        <v>18</v>
      </c>
      <c r="D18" s="4">
        <v>8285186</v>
      </c>
      <c r="E18" s="4" t="s">
        <v>125</v>
      </c>
      <c r="F18" s="4">
        <v>1</v>
      </c>
      <c r="G18" s="88">
        <v>1.4</v>
      </c>
      <c r="I18" s="88">
        <v>1.4</v>
      </c>
      <c r="J18" s="4">
        <v>9</v>
      </c>
    </row>
    <row r="19" spans="1:10" x14ac:dyDescent="0.7">
      <c r="A19" s="4">
        <v>10004</v>
      </c>
      <c r="B19" s="4" t="s">
        <v>724</v>
      </c>
      <c r="C19" s="4">
        <v>19</v>
      </c>
      <c r="D19" s="4">
        <v>1635351</v>
      </c>
      <c r="E19" s="4" t="s">
        <v>717</v>
      </c>
      <c r="F19" s="4">
        <v>1</v>
      </c>
      <c r="G19" s="88">
        <v>1.08</v>
      </c>
      <c r="I19" s="88">
        <v>1.08</v>
      </c>
      <c r="J19" s="4">
        <v>10</v>
      </c>
    </row>
    <row r="20" spans="1:10" x14ac:dyDescent="0.7">
      <c r="A20" s="4">
        <v>10005</v>
      </c>
      <c r="B20" s="4" t="s">
        <v>724</v>
      </c>
      <c r="C20" s="4">
        <v>20</v>
      </c>
      <c r="D20" s="4">
        <v>4156561</v>
      </c>
      <c r="E20" s="4" t="s">
        <v>428</v>
      </c>
      <c r="F20" s="4">
        <v>1</v>
      </c>
      <c r="G20" s="88">
        <v>1.87</v>
      </c>
      <c r="I20" s="88">
        <v>1.87</v>
      </c>
      <c r="J20" s="4">
        <v>7</v>
      </c>
    </row>
    <row r="21" spans="1:10" x14ac:dyDescent="0.7">
      <c r="A21" s="4">
        <v>10005</v>
      </c>
      <c r="B21" s="4" t="s">
        <v>724</v>
      </c>
      <c r="C21" s="4">
        <v>21</v>
      </c>
      <c r="D21" s="4">
        <v>8654750</v>
      </c>
      <c r="E21" s="4" t="s">
        <v>427</v>
      </c>
      <c r="F21" s="4">
        <v>1</v>
      </c>
      <c r="G21" s="88">
        <v>1.23</v>
      </c>
      <c r="I21" s="88">
        <v>1.23</v>
      </c>
      <c r="J21" s="4">
        <v>8</v>
      </c>
    </row>
    <row r="22" spans="1:10" x14ac:dyDescent="0.7">
      <c r="A22" s="4">
        <v>10005</v>
      </c>
      <c r="B22" s="4" t="s">
        <v>724</v>
      </c>
      <c r="C22" s="4">
        <v>22</v>
      </c>
      <c r="D22" s="4">
        <v>132858.622857137</v>
      </c>
      <c r="E22" s="4" t="s">
        <v>738</v>
      </c>
      <c r="F22" s="4">
        <v>1</v>
      </c>
      <c r="G22" s="88">
        <v>1.44</v>
      </c>
      <c r="I22" s="88">
        <v>1.44</v>
      </c>
      <c r="J22" s="4">
        <v>9</v>
      </c>
    </row>
    <row r="23" spans="1:10" x14ac:dyDescent="0.7">
      <c r="A23" s="4">
        <v>10006</v>
      </c>
      <c r="B23" s="4" t="s">
        <v>724</v>
      </c>
      <c r="C23" s="4">
        <v>23</v>
      </c>
      <c r="D23" s="4">
        <v>4156561</v>
      </c>
      <c r="E23" s="4" t="s">
        <v>428</v>
      </c>
      <c r="F23" s="4">
        <v>4</v>
      </c>
      <c r="G23" s="88">
        <v>1.87</v>
      </c>
      <c r="I23" s="88">
        <v>7.48</v>
      </c>
      <c r="J23" s="4">
        <v>7</v>
      </c>
    </row>
    <row r="24" spans="1:10" x14ac:dyDescent="0.7">
      <c r="A24" s="4">
        <v>10006</v>
      </c>
      <c r="B24" s="4" t="s">
        <v>724</v>
      </c>
      <c r="C24" s="4">
        <v>24</v>
      </c>
      <c r="D24" s="4">
        <v>8654750</v>
      </c>
      <c r="E24" s="4" t="s">
        <v>427</v>
      </c>
      <c r="F24" s="4">
        <v>3</v>
      </c>
      <c r="G24" s="88">
        <v>1.23</v>
      </c>
      <c r="I24" s="88">
        <v>3.69</v>
      </c>
      <c r="J24" s="4">
        <v>8</v>
      </c>
    </row>
    <row r="25" spans="1:10" x14ac:dyDescent="0.7">
      <c r="A25" s="4">
        <v>10007</v>
      </c>
      <c r="B25" s="4" t="s">
        <v>724</v>
      </c>
      <c r="C25" s="4">
        <v>25</v>
      </c>
      <c r="D25" s="4">
        <v>1545154</v>
      </c>
      <c r="E25" s="4" t="s">
        <v>123</v>
      </c>
      <c r="F25" s="4">
        <v>5</v>
      </c>
      <c r="G25" s="88">
        <v>1.49</v>
      </c>
      <c r="I25" s="88">
        <v>7.45</v>
      </c>
      <c r="J25" s="4">
        <v>7</v>
      </c>
    </row>
    <row r="26" spans="1:10" x14ac:dyDescent="0.7">
      <c r="A26" s="4">
        <v>10007</v>
      </c>
      <c r="B26" s="4" t="s">
        <v>724</v>
      </c>
      <c r="C26" s="4">
        <v>26</v>
      </c>
      <c r="D26" s="4">
        <v>5858103</v>
      </c>
      <c r="E26" s="4" t="s">
        <v>124</v>
      </c>
      <c r="F26" s="4">
        <v>5</v>
      </c>
      <c r="G26" s="88">
        <v>1.53</v>
      </c>
      <c r="I26" s="88">
        <v>7.65</v>
      </c>
      <c r="J26" s="4">
        <v>8</v>
      </c>
    </row>
    <row r="27" spans="1:10" x14ac:dyDescent="0.7">
      <c r="A27" s="4">
        <v>10007</v>
      </c>
      <c r="B27" s="4" t="s">
        <v>724</v>
      </c>
      <c r="C27" s="4">
        <v>27</v>
      </c>
      <c r="D27" s="4">
        <v>8285186</v>
      </c>
      <c r="E27" s="4" t="s">
        <v>125</v>
      </c>
      <c r="F27" s="4">
        <v>5</v>
      </c>
      <c r="G27" s="88">
        <v>1.4</v>
      </c>
      <c r="I27" s="88">
        <v>7</v>
      </c>
      <c r="J27" s="4">
        <v>9</v>
      </c>
    </row>
    <row r="28" spans="1:10" x14ac:dyDescent="0.7">
      <c r="A28" s="4">
        <v>10007</v>
      </c>
      <c r="B28" s="4" t="s">
        <v>724</v>
      </c>
      <c r="C28" s="4">
        <v>28</v>
      </c>
      <c r="D28" s="4">
        <v>8159837</v>
      </c>
      <c r="E28" s="4" t="s">
        <v>336</v>
      </c>
      <c r="F28" s="4">
        <v>5</v>
      </c>
      <c r="G28" s="88">
        <v>1.56</v>
      </c>
      <c r="I28" s="88">
        <v>7.8</v>
      </c>
      <c r="J28" s="4">
        <v>10</v>
      </c>
    </row>
    <row r="29" spans="1:10" x14ac:dyDescent="0.7">
      <c r="A29" s="4">
        <v>10003</v>
      </c>
      <c r="B29" s="4" t="s">
        <v>724</v>
      </c>
      <c r="C29" s="4">
        <v>29</v>
      </c>
      <c r="D29" s="4">
        <v>4613571</v>
      </c>
      <c r="E29" s="4" t="s">
        <v>476</v>
      </c>
      <c r="F29" s="4">
        <v>4</v>
      </c>
      <c r="G29" s="88">
        <v>3.38</v>
      </c>
      <c r="I29" s="88">
        <v>13.52</v>
      </c>
      <c r="J29" s="4">
        <v>10</v>
      </c>
    </row>
    <row r="30" spans="1:10" x14ac:dyDescent="0.7">
      <c r="A30" s="4">
        <v>10003</v>
      </c>
      <c r="B30" s="4" t="s">
        <v>724</v>
      </c>
      <c r="C30" s="4">
        <v>30</v>
      </c>
      <c r="D30" s="4">
        <v>4764241</v>
      </c>
      <c r="E30" s="4" t="s">
        <v>477</v>
      </c>
      <c r="F30" s="4">
        <v>2</v>
      </c>
      <c r="G30" s="88">
        <v>2.0499999999999998</v>
      </c>
      <c r="I30" s="88">
        <v>4.0999999999999996</v>
      </c>
      <c r="J30" s="4">
        <v>11</v>
      </c>
    </row>
    <row r="31" spans="1:10" x14ac:dyDescent="0.7">
      <c r="A31" s="4">
        <v>10003</v>
      </c>
      <c r="B31" s="4" t="s">
        <v>724</v>
      </c>
      <c r="C31" s="4">
        <v>31</v>
      </c>
      <c r="D31" s="4">
        <v>5858103</v>
      </c>
      <c r="E31" s="4" t="s">
        <v>124</v>
      </c>
      <c r="F31" s="4">
        <v>4</v>
      </c>
      <c r="G31" s="88">
        <v>3.61</v>
      </c>
      <c r="I31" s="88">
        <v>14.44</v>
      </c>
      <c r="J31" s="4">
        <v>12</v>
      </c>
    </row>
    <row r="32" spans="1:10" x14ac:dyDescent="0.7">
      <c r="A32" s="4">
        <v>10003</v>
      </c>
      <c r="B32" s="4" t="s">
        <v>724</v>
      </c>
      <c r="C32" s="4">
        <v>32</v>
      </c>
      <c r="D32" s="4">
        <v>9910370</v>
      </c>
      <c r="E32" s="4" t="s">
        <v>478</v>
      </c>
      <c r="F32" s="4">
        <v>3</v>
      </c>
      <c r="G32" s="88">
        <v>2.62</v>
      </c>
      <c r="I32" s="88">
        <v>7.86</v>
      </c>
      <c r="J32" s="4">
        <v>13</v>
      </c>
    </row>
    <row r="33" spans="1:10" x14ac:dyDescent="0.7">
      <c r="A33" s="4">
        <v>10003</v>
      </c>
      <c r="B33" s="4" t="s">
        <v>724</v>
      </c>
      <c r="C33" s="4">
        <v>33</v>
      </c>
      <c r="D33" s="4">
        <v>2553863</v>
      </c>
      <c r="E33" s="4" t="s">
        <v>337</v>
      </c>
      <c r="F33" s="4">
        <v>1</v>
      </c>
      <c r="G33" s="88">
        <v>3.5</v>
      </c>
      <c r="I33" s="88">
        <v>3.5</v>
      </c>
      <c r="J33" s="4">
        <v>14</v>
      </c>
    </row>
    <row r="34" spans="1:10" x14ac:dyDescent="0.7">
      <c r="A34" s="4">
        <v>10008</v>
      </c>
      <c r="B34" s="4" t="s">
        <v>724</v>
      </c>
      <c r="C34" s="4">
        <v>34</v>
      </c>
      <c r="D34" s="4">
        <v>1545154</v>
      </c>
      <c r="E34" s="4" t="s">
        <v>123</v>
      </c>
      <c r="F34" s="4">
        <v>10</v>
      </c>
      <c r="G34" s="88">
        <v>1.49</v>
      </c>
      <c r="H34" s="4">
        <v>0.1</v>
      </c>
      <c r="I34" s="88">
        <v>13.41</v>
      </c>
      <c r="J34" s="4">
        <v>7</v>
      </c>
    </row>
    <row r="35" spans="1:10" x14ac:dyDescent="0.7">
      <c r="A35" s="4">
        <v>10008</v>
      </c>
      <c r="B35" s="4" t="s">
        <v>724</v>
      </c>
      <c r="C35" s="4">
        <v>35</v>
      </c>
      <c r="D35" s="4">
        <v>5858103</v>
      </c>
      <c r="E35" s="4" t="s">
        <v>124</v>
      </c>
      <c r="F35" s="4">
        <v>10</v>
      </c>
      <c r="G35" s="88">
        <v>1.53</v>
      </c>
      <c r="I35" s="88">
        <v>15.3</v>
      </c>
      <c r="J35" s="4">
        <v>8</v>
      </c>
    </row>
    <row r="36" spans="1:10" x14ac:dyDescent="0.7">
      <c r="A36" s="4">
        <v>10008</v>
      </c>
      <c r="B36" s="4" t="s">
        <v>724</v>
      </c>
      <c r="C36" s="4">
        <v>36</v>
      </c>
      <c r="D36" s="4">
        <v>3316995</v>
      </c>
      <c r="E36" s="4" t="s">
        <v>432</v>
      </c>
      <c r="F36" s="4">
        <v>10</v>
      </c>
      <c r="G36" s="88">
        <v>1.44</v>
      </c>
      <c r="I36" s="88">
        <v>14.4</v>
      </c>
      <c r="J36" s="4">
        <v>9</v>
      </c>
    </row>
    <row r="37" spans="1:10" x14ac:dyDescent="0.7">
      <c r="A37" s="4">
        <v>10008</v>
      </c>
      <c r="B37" s="4" t="s">
        <v>724</v>
      </c>
      <c r="C37" s="4">
        <v>37</v>
      </c>
      <c r="D37" s="4">
        <v>5126555</v>
      </c>
      <c r="E37" s="4" t="s">
        <v>433</v>
      </c>
      <c r="F37" s="4">
        <v>10</v>
      </c>
      <c r="G37" s="88">
        <v>1.29</v>
      </c>
      <c r="I37" s="88">
        <v>12.9</v>
      </c>
      <c r="J37" s="4">
        <v>10</v>
      </c>
    </row>
    <row r="38" spans="1:10" x14ac:dyDescent="0.7">
      <c r="A38" s="4">
        <v>10008</v>
      </c>
      <c r="B38" s="4" t="s">
        <v>724</v>
      </c>
      <c r="C38" s="4">
        <v>38</v>
      </c>
      <c r="D38" s="4">
        <v>9853767</v>
      </c>
      <c r="E38" s="4" t="s">
        <v>434</v>
      </c>
      <c r="F38" s="4">
        <v>10</v>
      </c>
      <c r="G38" s="88">
        <v>1.1499999999999999</v>
      </c>
      <c r="I38" s="88">
        <v>11.5</v>
      </c>
      <c r="J38" s="4">
        <v>11</v>
      </c>
    </row>
    <row r="39" spans="1:10" x14ac:dyDescent="0.7">
      <c r="A39" s="4">
        <v>10008</v>
      </c>
      <c r="B39" s="4" t="s">
        <v>724</v>
      </c>
      <c r="C39" s="4">
        <v>39</v>
      </c>
      <c r="D39" s="4">
        <v>1666494</v>
      </c>
      <c r="E39" s="4" t="s">
        <v>435</v>
      </c>
      <c r="F39" s="4">
        <v>10</v>
      </c>
      <c r="G39" s="88">
        <v>1.5</v>
      </c>
      <c r="I39" s="88">
        <v>15</v>
      </c>
      <c r="J39" s="4">
        <v>12</v>
      </c>
    </row>
    <row r="40" spans="1:10" x14ac:dyDescent="0.7">
      <c r="A40" s="4">
        <v>10008</v>
      </c>
      <c r="B40" s="4" t="s">
        <v>724</v>
      </c>
      <c r="C40" s="4">
        <v>40</v>
      </c>
      <c r="D40" s="4">
        <v>1714937</v>
      </c>
      <c r="E40" s="4" t="s">
        <v>430</v>
      </c>
      <c r="F40" s="4">
        <v>10</v>
      </c>
      <c r="G40" s="88">
        <v>3.71</v>
      </c>
      <c r="I40" s="88">
        <v>37.1</v>
      </c>
      <c r="J40" s="4">
        <v>13</v>
      </c>
    </row>
    <row r="41" spans="1:10" x14ac:dyDescent="0.7">
      <c r="A41" s="4">
        <v>10009</v>
      </c>
      <c r="B41" s="4" t="s">
        <v>23</v>
      </c>
      <c r="C41" s="4">
        <v>41</v>
      </c>
      <c r="D41" s="4">
        <v>7762259</v>
      </c>
      <c r="E41" s="4" t="s">
        <v>347</v>
      </c>
      <c r="F41" s="4">
        <v>1</v>
      </c>
      <c r="G41" s="88">
        <v>2.15</v>
      </c>
      <c r="I41" s="88">
        <v>2.15</v>
      </c>
      <c r="J41" s="4">
        <v>7</v>
      </c>
    </row>
    <row r="42" spans="1:10" x14ac:dyDescent="0.7">
      <c r="A42" s="4">
        <v>10009</v>
      </c>
      <c r="B42" s="4" t="s">
        <v>23</v>
      </c>
      <c r="C42" s="4">
        <v>42</v>
      </c>
      <c r="D42" s="4">
        <v>7493406</v>
      </c>
      <c r="E42" s="4" t="s">
        <v>143</v>
      </c>
      <c r="F42" s="4">
        <v>1</v>
      </c>
      <c r="G42" s="88">
        <v>2.5099999999999998</v>
      </c>
      <c r="I42" s="88">
        <v>2.5099999999999998</v>
      </c>
      <c r="J42" s="4">
        <v>8</v>
      </c>
    </row>
    <row r="43" spans="1:10" x14ac:dyDescent="0.7">
      <c r="A43" s="4">
        <v>10009</v>
      </c>
      <c r="B43" s="4" t="s">
        <v>23</v>
      </c>
      <c r="C43" s="4">
        <v>43</v>
      </c>
      <c r="D43" s="4">
        <v>2867407</v>
      </c>
      <c r="E43" s="4" t="s">
        <v>502</v>
      </c>
      <c r="F43" s="4">
        <v>2</v>
      </c>
      <c r="G43" s="88">
        <v>3.18</v>
      </c>
      <c r="I43" s="88">
        <v>6.36</v>
      </c>
      <c r="J43" s="4">
        <v>9</v>
      </c>
    </row>
    <row r="44" spans="1:10" x14ac:dyDescent="0.7">
      <c r="A44" s="4">
        <v>10009</v>
      </c>
      <c r="B44" s="4" t="s">
        <v>23</v>
      </c>
      <c r="C44" s="4">
        <v>44</v>
      </c>
      <c r="D44" s="4">
        <v>8670099</v>
      </c>
      <c r="E44" s="4" t="s">
        <v>501</v>
      </c>
      <c r="F44" s="4">
        <v>1</v>
      </c>
      <c r="G44" s="88">
        <v>2.75</v>
      </c>
      <c r="I44" s="88">
        <v>2.75</v>
      </c>
      <c r="J44" s="4">
        <v>10</v>
      </c>
    </row>
    <row r="45" spans="1:10" x14ac:dyDescent="0.7">
      <c r="A45" s="4">
        <v>10009</v>
      </c>
      <c r="B45" s="4" t="s">
        <v>23</v>
      </c>
      <c r="C45" s="4">
        <v>45</v>
      </c>
      <c r="D45" s="4">
        <v>2773821</v>
      </c>
      <c r="E45" s="4" t="s">
        <v>506</v>
      </c>
      <c r="F45" s="4">
        <v>1</v>
      </c>
      <c r="G45" s="88">
        <v>3.13</v>
      </c>
      <c r="I45" s="88">
        <v>3.13</v>
      </c>
      <c r="J45" s="4">
        <v>11</v>
      </c>
    </row>
    <row r="46" spans="1:10" x14ac:dyDescent="0.7">
      <c r="A46" s="4">
        <v>10003</v>
      </c>
      <c r="B46" s="4" t="s">
        <v>724</v>
      </c>
      <c r="C46" s="4">
        <v>46</v>
      </c>
      <c r="D46" s="4">
        <v>3700684</v>
      </c>
      <c r="E46" s="4" t="s">
        <v>297</v>
      </c>
      <c r="F46" s="4">
        <v>1</v>
      </c>
      <c r="G46" s="88">
        <v>3.65</v>
      </c>
      <c r="I46" s="88">
        <v>3.65</v>
      </c>
      <c r="J46" s="4">
        <v>15</v>
      </c>
    </row>
    <row r="47" spans="1:10" x14ac:dyDescent="0.7">
      <c r="A47" s="4">
        <v>10010</v>
      </c>
      <c r="B47" s="4" t="s">
        <v>23</v>
      </c>
      <c r="C47" s="4">
        <v>47</v>
      </c>
      <c r="D47" s="4">
        <v>8474415</v>
      </c>
      <c r="E47" s="4" t="s">
        <v>76</v>
      </c>
      <c r="F47" s="4">
        <v>1</v>
      </c>
      <c r="G47" s="88">
        <v>3.93</v>
      </c>
      <c r="I47" s="88">
        <v>3.93</v>
      </c>
      <c r="J47" s="4">
        <v>7</v>
      </c>
    </row>
    <row r="48" spans="1:10" x14ac:dyDescent="0.7">
      <c r="A48" s="4">
        <v>10010</v>
      </c>
      <c r="B48" s="4" t="s">
        <v>23</v>
      </c>
      <c r="C48" s="4">
        <v>48</v>
      </c>
      <c r="D48" s="4">
        <v>5427773</v>
      </c>
      <c r="E48" s="4" t="s">
        <v>146</v>
      </c>
      <c r="F48" s="4">
        <v>3</v>
      </c>
      <c r="G48" s="88">
        <v>3.87</v>
      </c>
      <c r="I48" s="88">
        <v>11.61</v>
      </c>
      <c r="J48" s="4">
        <v>8</v>
      </c>
    </row>
    <row r="49" spans="1:10" x14ac:dyDescent="0.7">
      <c r="A49" s="4">
        <v>10010</v>
      </c>
      <c r="B49" s="4" t="s">
        <v>23</v>
      </c>
      <c r="C49" s="4">
        <v>49</v>
      </c>
      <c r="D49" s="4">
        <v>9897686</v>
      </c>
      <c r="E49" s="4" t="s">
        <v>505</v>
      </c>
      <c r="F49" s="4">
        <v>1</v>
      </c>
      <c r="G49" s="88">
        <v>3.58</v>
      </c>
      <c r="I49" s="88">
        <v>3.58</v>
      </c>
      <c r="J49" s="4">
        <v>9</v>
      </c>
    </row>
    <row r="50" spans="1:10" x14ac:dyDescent="0.7">
      <c r="A50" s="4">
        <v>10010</v>
      </c>
      <c r="B50" s="4" t="s">
        <v>23</v>
      </c>
      <c r="C50" s="4">
        <v>50</v>
      </c>
      <c r="D50" s="4">
        <v>4970647</v>
      </c>
      <c r="E50" s="4" t="s">
        <v>504</v>
      </c>
      <c r="F50" s="4">
        <v>1</v>
      </c>
      <c r="G50" s="88">
        <v>3.98</v>
      </c>
      <c r="I50" s="88">
        <v>3.98</v>
      </c>
      <c r="J50" s="4">
        <v>10</v>
      </c>
    </row>
    <row r="51" spans="1:10" x14ac:dyDescent="0.7">
      <c r="A51" s="4">
        <v>10010</v>
      </c>
      <c r="B51" s="4" t="s">
        <v>23</v>
      </c>
      <c r="C51" s="4">
        <v>51</v>
      </c>
      <c r="D51" s="4">
        <v>1987220</v>
      </c>
      <c r="E51" s="4" t="s">
        <v>508</v>
      </c>
      <c r="F51" s="4">
        <v>1</v>
      </c>
      <c r="G51" s="88">
        <v>2.2400000000000002</v>
      </c>
      <c r="I51" s="88">
        <v>2.2400000000000002</v>
      </c>
      <c r="J51" s="4">
        <v>11</v>
      </c>
    </row>
    <row r="52" spans="1:10" x14ac:dyDescent="0.7">
      <c r="A52" s="4">
        <v>10002</v>
      </c>
      <c r="B52" s="4" t="s">
        <v>23</v>
      </c>
      <c r="C52" s="4">
        <v>52</v>
      </c>
      <c r="D52" s="4">
        <v>9897686</v>
      </c>
      <c r="E52" s="4" t="s">
        <v>505</v>
      </c>
      <c r="F52" s="4">
        <v>1</v>
      </c>
      <c r="G52" s="88">
        <v>1.1299999999999999</v>
      </c>
      <c r="I52" s="88">
        <v>1.1299999999999999</v>
      </c>
      <c r="J52" s="4">
        <v>9</v>
      </c>
    </row>
    <row r="53" spans="1:10" x14ac:dyDescent="0.7">
      <c r="G53" s="88"/>
      <c r="I53" s="88"/>
    </row>
    <row r="54" spans="1:10" x14ac:dyDescent="0.7">
      <c r="G54" s="88"/>
      <c r="I54" s="88"/>
    </row>
    <row r="55" spans="1:10" x14ac:dyDescent="0.7">
      <c r="G55" s="88"/>
      <c r="I55" s="88"/>
    </row>
    <row r="56" spans="1:10" x14ac:dyDescent="0.7">
      <c r="G56" s="88"/>
      <c r="I56" s="88"/>
    </row>
    <row r="57" spans="1:10" x14ac:dyDescent="0.7">
      <c r="G57" s="88"/>
      <c r="I57" s="88"/>
    </row>
    <row r="58" spans="1:10" x14ac:dyDescent="0.7">
      <c r="G58" s="88"/>
      <c r="I58" s="88"/>
    </row>
    <row r="59" spans="1:10" x14ac:dyDescent="0.7">
      <c r="G59" s="88"/>
      <c r="I59" s="88"/>
    </row>
    <row r="60" spans="1:10" x14ac:dyDescent="0.7">
      <c r="G60" s="88"/>
      <c r="I60" s="88"/>
    </row>
    <row r="61" spans="1:10" x14ac:dyDescent="0.7">
      <c r="G61" s="88"/>
      <c r="I61" s="88"/>
    </row>
    <row r="62" spans="1:10" x14ac:dyDescent="0.7">
      <c r="G62" s="88"/>
      <c r="I62" s="88"/>
    </row>
    <row r="63" spans="1:10" x14ac:dyDescent="0.7">
      <c r="G63" s="88"/>
      <c r="I63" s="88"/>
    </row>
    <row r="64" spans="1:10" x14ac:dyDescent="0.7">
      <c r="G64" s="88"/>
      <c r="I64" s="88"/>
    </row>
    <row r="65" spans="7:9" x14ac:dyDescent="0.7">
      <c r="G65" s="88"/>
      <c r="I65" s="88"/>
    </row>
    <row r="66" spans="7:9" x14ac:dyDescent="0.7">
      <c r="G66" s="88"/>
      <c r="I66" s="88"/>
    </row>
    <row r="67" spans="7:9" x14ac:dyDescent="0.7">
      <c r="G67" s="88"/>
      <c r="I67" s="88"/>
    </row>
    <row r="68" spans="7:9" x14ac:dyDescent="0.7">
      <c r="G68" s="88"/>
      <c r="I68" s="88"/>
    </row>
    <row r="69" spans="7:9" x14ac:dyDescent="0.7">
      <c r="G69" s="88"/>
      <c r="I69" s="88"/>
    </row>
    <row r="70" spans="7:9" x14ac:dyDescent="0.7">
      <c r="G70" s="88"/>
      <c r="I70" s="88"/>
    </row>
    <row r="71" spans="7:9" x14ac:dyDescent="0.7">
      <c r="G71" s="88"/>
      <c r="I71" s="88"/>
    </row>
    <row r="72" spans="7:9" x14ac:dyDescent="0.7">
      <c r="G72" s="88"/>
      <c r="I72" s="88"/>
    </row>
    <row r="73" spans="7:9" x14ac:dyDescent="0.7">
      <c r="G73" s="88"/>
      <c r="I73" s="88"/>
    </row>
    <row r="74" spans="7:9" x14ac:dyDescent="0.7">
      <c r="G74" s="88"/>
      <c r="I74" s="88"/>
    </row>
    <row r="75" spans="7:9" x14ac:dyDescent="0.7">
      <c r="G75" s="88"/>
      <c r="I75" s="88"/>
    </row>
    <row r="76" spans="7:9" x14ac:dyDescent="0.7">
      <c r="G76" s="88"/>
      <c r="I76" s="88"/>
    </row>
    <row r="77" spans="7:9" x14ac:dyDescent="0.7">
      <c r="G77" s="88"/>
      <c r="I77" s="88"/>
    </row>
    <row r="78" spans="7:9" x14ac:dyDescent="0.7">
      <c r="G78" s="88"/>
      <c r="I78" s="88"/>
    </row>
    <row r="79" spans="7:9" x14ac:dyDescent="0.7">
      <c r="G79" s="88"/>
      <c r="I79" s="88"/>
    </row>
    <row r="80" spans="7:9" x14ac:dyDescent="0.7">
      <c r="G80" s="88"/>
      <c r="I80" s="88"/>
    </row>
    <row r="81" spans="7:9" x14ac:dyDescent="0.7">
      <c r="G81" s="88"/>
      <c r="I81" s="88"/>
    </row>
    <row r="82" spans="7:9" x14ac:dyDescent="0.7">
      <c r="G82" s="88"/>
      <c r="I82" s="88"/>
    </row>
    <row r="83" spans="7:9" x14ac:dyDescent="0.7">
      <c r="G83" s="88"/>
      <c r="I83" s="88"/>
    </row>
    <row r="84" spans="7:9" x14ac:dyDescent="0.7">
      <c r="G84" s="88"/>
      <c r="I84" s="88"/>
    </row>
    <row r="85" spans="7:9" x14ac:dyDescent="0.7">
      <c r="G85" s="88"/>
      <c r="I85" s="88"/>
    </row>
    <row r="86" spans="7:9" x14ac:dyDescent="0.7">
      <c r="G86" s="88"/>
      <c r="I86" s="88"/>
    </row>
    <row r="87" spans="7:9" x14ac:dyDescent="0.7">
      <c r="G87" s="88"/>
      <c r="I87" s="88"/>
    </row>
    <row r="88" spans="7:9" x14ac:dyDescent="0.7">
      <c r="G88" s="88"/>
      <c r="I88" s="88"/>
    </row>
    <row r="89" spans="7:9" x14ac:dyDescent="0.7">
      <c r="G89" s="88"/>
      <c r="I89" s="88"/>
    </row>
    <row r="90" spans="7:9" x14ac:dyDescent="0.7">
      <c r="G90" s="88"/>
      <c r="I90" s="88"/>
    </row>
    <row r="91" spans="7:9" x14ac:dyDescent="0.7">
      <c r="G91" s="88"/>
      <c r="I91" s="88"/>
    </row>
    <row r="92" spans="7:9" x14ac:dyDescent="0.7">
      <c r="G92" s="88"/>
      <c r="I92" s="88"/>
    </row>
    <row r="93" spans="7:9" x14ac:dyDescent="0.7">
      <c r="G93" s="88"/>
      <c r="I93" s="88"/>
    </row>
    <row r="94" spans="7:9" x14ac:dyDescent="0.7">
      <c r="G94" s="88"/>
      <c r="I94" s="88"/>
    </row>
    <row r="95" spans="7:9" x14ac:dyDescent="0.7">
      <c r="G95" s="88"/>
      <c r="I95" s="88"/>
    </row>
    <row r="96" spans="7:9" x14ac:dyDescent="0.7">
      <c r="G96" s="88"/>
      <c r="I96" s="88"/>
    </row>
    <row r="97" spans="7:9" x14ac:dyDescent="0.7">
      <c r="G97" s="88"/>
      <c r="I97" s="88"/>
    </row>
    <row r="98" spans="7:9" x14ac:dyDescent="0.7">
      <c r="G98" s="88"/>
      <c r="I98" s="88"/>
    </row>
    <row r="99" spans="7:9" x14ac:dyDescent="0.7">
      <c r="G99" s="88"/>
      <c r="I99" s="88"/>
    </row>
    <row r="100" spans="7:9" x14ac:dyDescent="0.7">
      <c r="G100" s="88"/>
      <c r="I100" s="88"/>
    </row>
    <row r="101" spans="7:9" x14ac:dyDescent="0.7">
      <c r="G101" s="88"/>
      <c r="I101" s="88"/>
    </row>
    <row r="102" spans="7:9" x14ac:dyDescent="0.7">
      <c r="G102" s="88"/>
      <c r="I102" s="88"/>
    </row>
    <row r="103" spans="7:9" x14ac:dyDescent="0.7">
      <c r="G103" s="88"/>
      <c r="I103" s="88"/>
    </row>
    <row r="104" spans="7:9" x14ac:dyDescent="0.7">
      <c r="G104" s="88"/>
      <c r="I104" s="88"/>
    </row>
    <row r="105" spans="7:9" x14ac:dyDescent="0.7">
      <c r="I105" s="88"/>
    </row>
    <row r="106" spans="7:9" x14ac:dyDescent="0.7">
      <c r="I106" s="88"/>
    </row>
    <row r="107" spans="7:9" x14ac:dyDescent="0.7">
      <c r="I107" s="88"/>
    </row>
    <row r="108" spans="7:9" x14ac:dyDescent="0.7">
      <c r="I108" s="88"/>
    </row>
    <row r="109" spans="7:9" x14ac:dyDescent="0.7">
      <c r="I109" s="88"/>
    </row>
    <row r="110" spans="7:9" x14ac:dyDescent="0.7">
      <c r="I110" s="88"/>
    </row>
    <row r="111" spans="7:9" x14ac:dyDescent="0.7">
      <c r="I111" s="88"/>
    </row>
    <row r="112" spans="7:9" x14ac:dyDescent="0.7">
      <c r="I112" s="88"/>
    </row>
    <row r="113" spans="9:9" x14ac:dyDescent="0.7">
      <c r="I113" s="88"/>
    </row>
    <row r="114" spans="9:9" x14ac:dyDescent="0.7">
      <c r="I114" s="88"/>
    </row>
    <row r="115" spans="9:9" x14ac:dyDescent="0.7">
      <c r="I115" s="88"/>
    </row>
    <row r="116" spans="9:9" x14ac:dyDescent="0.7">
      <c r="I116" s="88"/>
    </row>
    <row r="117" spans="9:9" x14ac:dyDescent="0.7">
      <c r="I117" s="88"/>
    </row>
    <row r="118" spans="9:9" x14ac:dyDescent="0.7">
      <c r="I118" s="88"/>
    </row>
    <row r="119" spans="9:9" x14ac:dyDescent="0.7">
      <c r="I119" s="88"/>
    </row>
    <row r="120" spans="9:9" x14ac:dyDescent="0.7">
      <c r="I120" s="88"/>
    </row>
    <row r="121" spans="9:9" x14ac:dyDescent="0.7">
      <c r="I121" s="88"/>
    </row>
    <row r="122" spans="9:9" x14ac:dyDescent="0.7">
      <c r="I122" s="88"/>
    </row>
    <row r="123" spans="9:9" x14ac:dyDescent="0.7">
      <c r="I123" s="88"/>
    </row>
    <row r="124" spans="9:9" x14ac:dyDescent="0.7">
      <c r="I124" s="88"/>
    </row>
    <row r="125" spans="9:9" x14ac:dyDescent="0.7">
      <c r="I125" s="88"/>
    </row>
    <row r="126" spans="9:9" x14ac:dyDescent="0.7">
      <c r="I126" s="88"/>
    </row>
    <row r="127" spans="9:9" x14ac:dyDescent="0.7">
      <c r="I127" s="88"/>
    </row>
    <row r="128" spans="9:9" x14ac:dyDescent="0.7">
      <c r="I128" s="88"/>
    </row>
    <row r="129" spans="9:9" x14ac:dyDescent="0.7">
      <c r="I129" s="88"/>
    </row>
    <row r="130" spans="9:9" x14ac:dyDescent="0.7">
      <c r="I130" s="88"/>
    </row>
    <row r="131" spans="9:9" x14ac:dyDescent="0.7">
      <c r="I131" s="88"/>
    </row>
    <row r="132" spans="9:9" x14ac:dyDescent="0.7">
      <c r="I132" s="88"/>
    </row>
    <row r="133" spans="9:9" x14ac:dyDescent="0.7">
      <c r="I133" s="88"/>
    </row>
    <row r="134" spans="9:9" x14ac:dyDescent="0.7">
      <c r="I134" s="88"/>
    </row>
    <row r="135" spans="9:9" x14ac:dyDescent="0.7">
      <c r="I135" s="88"/>
    </row>
    <row r="136" spans="9:9" x14ac:dyDescent="0.7">
      <c r="I136" s="88"/>
    </row>
    <row r="137" spans="9:9" x14ac:dyDescent="0.7">
      <c r="I137" s="88"/>
    </row>
    <row r="138" spans="9:9" x14ac:dyDescent="0.7">
      <c r="I138" s="88"/>
    </row>
    <row r="139" spans="9:9" x14ac:dyDescent="0.7">
      <c r="I139" s="88"/>
    </row>
    <row r="140" spans="9:9" x14ac:dyDescent="0.7">
      <c r="I140" s="88"/>
    </row>
    <row r="141" spans="9:9" x14ac:dyDescent="0.7">
      <c r="I141" s="88"/>
    </row>
    <row r="142" spans="9:9" x14ac:dyDescent="0.7">
      <c r="I142" s="88"/>
    </row>
    <row r="143" spans="9:9" x14ac:dyDescent="0.7">
      <c r="I143" s="88"/>
    </row>
    <row r="144" spans="9:9" x14ac:dyDescent="0.7">
      <c r="I144" s="88"/>
    </row>
    <row r="145" spans="9:9" x14ac:dyDescent="0.7">
      <c r="I145" s="88"/>
    </row>
    <row r="146" spans="9:9" x14ac:dyDescent="0.7">
      <c r="I146" s="88"/>
    </row>
    <row r="147" spans="9:9" x14ac:dyDescent="0.7">
      <c r="I147" s="88"/>
    </row>
    <row r="148" spans="9:9" x14ac:dyDescent="0.7">
      <c r="I148" s="88"/>
    </row>
    <row r="149" spans="9:9" x14ac:dyDescent="0.7">
      <c r="I149" s="88"/>
    </row>
    <row r="150" spans="9:9" x14ac:dyDescent="0.7">
      <c r="I150" s="88"/>
    </row>
    <row r="151" spans="9:9" x14ac:dyDescent="0.7">
      <c r="I151" s="88"/>
    </row>
    <row r="152" spans="9:9" x14ac:dyDescent="0.7">
      <c r="I152" s="88"/>
    </row>
    <row r="153" spans="9:9" x14ac:dyDescent="0.7">
      <c r="I153" s="88"/>
    </row>
    <row r="154" spans="9:9" x14ac:dyDescent="0.7">
      <c r="I154" s="88"/>
    </row>
    <row r="155" spans="9:9" x14ac:dyDescent="0.7">
      <c r="I155" s="88"/>
    </row>
    <row r="156" spans="9:9" x14ac:dyDescent="0.7">
      <c r="I156" s="88"/>
    </row>
    <row r="157" spans="9:9" x14ac:dyDescent="0.7">
      <c r="I157" s="88"/>
    </row>
    <row r="158" spans="9:9" x14ac:dyDescent="0.7">
      <c r="I158" s="88"/>
    </row>
    <row r="159" spans="9:9" x14ac:dyDescent="0.7">
      <c r="I159" s="88"/>
    </row>
    <row r="160" spans="9:9" x14ac:dyDescent="0.7">
      <c r="I160" s="88"/>
    </row>
    <row r="161" spans="9:9" x14ac:dyDescent="0.7">
      <c r="I161" s="88"/>
    </row>
    <row r="162" spans="9:9" x14ac:dyDescent="0.7">
      <c r="I162" s="88"/>
    </row>
    <row r="163" spans="9:9" x14ac:dyDescent="0.7">
      <c r="I163" s="88"/>
    </row>
    <row r="164" spans="9:9" x14ac:dyDescent="0.7">
      <c r="I164" s="88"/>
    </row>
    <row r="165" spans="9:9" x14ac:dyDescent="0.7">
      <c r="I165" s="88"/>
    </row>
    <row r="166" spans="9:9" x14ac:dyDescent="0.7">
      <c r="I166" s="88"/>
    </row>
    <row r="167" spans="9:9" x14ac:dyDescent="0.7">
      <c r="I167" s="88"/>
    </row>
    <row r="168" spans="9:9" x14ac:dyDescent="0.7">
      <c r="I168" s="88"/>
    </row>
    <row r="169" spans="9:9" x14ac:dyDescent="0.7">
      <c r="I169" s="88"/>
    </row>
    <row r="170" spans="9:9" x14ac:dyDescent="0.7">
      <c r="I170" s="88"/>
    </row>
    <row r="171" spans="9:9" x14ac:dyDescent="0.7">
      <c r="I171" s="88"/>
    </row>
    <row r="172" spans="9:9" x14ac:dyDescent="0.7">
      <c r="I172" s="88"/>
    </row>
    <row r="173" spans="9:9" x14ac:dyDescent="0.7">
      <c r="I173" s="88"/>
    </row>
    <row r="174" spans="9:9" x14ac:dyDescent="0.7">
      <c r="I174" s="88"/>
    </row>
    <row r="175" spans="9:9" x14ac:dyDescent="0.7">
      <c r="I175" s="88"/>
    </row>
    <row r="176" spans="9:9" x14ac:dyDescent="0.7">
      <c r="I176" s="88"/>
    </row>
    <row r="177" spans="9:9" x14ac:dyDescent="0.7">
      <c r="I177" s="88"/>
    </row>
    <row r="178" spans="9:9" x14ac:dyDescent="0.7">
      <c r="I178" s="88"/>
    </row>
    <row r="179" spans="9:9" x14ac:dyDescent="0.7">
      <c r="I179" s="88"/>
    </row>
    <row r="180" spans="9:9" x14ac:dyDescent="0.7">
      <c r="I180" s="88"/>
    </row>
    <row r="181" spans="9:9" x14ac:dyDescent="0.7">
      <c r="I181" s="88"/>
    </row>
    <row r="182" spans="9:9" x14ac:dyDescent="0.7">
      <c r="I182" s="88"/>
    </row>
    <row r="183" spans="9:9" x14ac:dyDescent="0.7">
      <c r="I183" s="88"/>
    </row>
    <row r="184" spans="9:9" x14ac:dyDescent="0.7">
      <c r="I184" s="88"/>
    </row>
    <row r="185" spans="9:9" x14ac:dyDescent="0.7">
      <c r="I185" s="88"/>
    </row>
    <row r="186" spans="9:9" x14ac:dyDescent="0.7">
      <c r="I186" s="88"/>
    </row>
  </sheetData>
  <mergeCells count="3">
    <mergeCell ref="A1:J1"/>
    <mergeCell ref="Q1:W1"/>
    <mergeCell ref="N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ustomers"/>
  <dimension ref="A1:G31"/>
  <sheetViews>
    <sheetView workbookViewId="0">
      <selection activeCell="E6" sqref="E6"/>
    </sheetView>
  </sheetViews>
  <sheetFormatPr defaultRowHeight="16.2" x14ac:dyDescent="0.7"/>
  <cols>
    <col min="1" max="1" width="8.83984375" style="4"/>
    <col min="2" max="2" width="15.41796875" style="4" bestFit="1" customWidth="1"/>
    <col min="3" max="3" width="11.83984375" style="4" bestFit="1" customWidth="1"/>
    <col min="4" max="6" width="8.83984375" style="4"/>
    <col min="7" max="7" width="16.68359375" style="4" bestFit="1" customWidth="1"/>
    <col min="8" max="16384" width="8.83984375" style="4"/>
  </cols>
  <sheetData>
    <row r="1" spans="1:7" x14ac:dyDescent="0.7">
      <c r="A1" s="119" t="s">
        <v>59</v>
      </c>
      <c r="B1" s="119"/>
      <c r="C1" s="119"/>
      <c r="G1" s="90" t="s">
        <v>69</v>
      </c>
    </row>
    <row r="2" spans="1:7" x14ac:dyDescent="0.7">
      <c r="A2" s="91" t="s">
        <v>60</v>
      </c>
      <c r="B2" s="91" t="s">
        <v>61</v>
      </c>
      <c r="C2" s="91"/>
      <c r="G2" s="92" t="s">
        <v>61</v>
      </c>
    </row>
    <row r="3" spans="1:7" x14ac:dyDescent="0.7">
      <c r="A3" s="58">
        <v>1</v>
      </c>
      <c r="B3" s="4" t="s">
        <v>32</v>
      </c>
      <c r="G3" s="4" t="s">
        <v>71</v>
      </c>
    </row>
    <row r="4" spans="1:7" x14ac:dyDescent="0.7">
      <c r="A4" s="58">
        <v>2</v>
      </c>
      <c r="B4" s="4" t="s">
        <v>70</v>
      </c>
      <c r="G4" s="4" t="s">
        <v>32</v>
      </c>
    </row>
    <row r="5" spans="1:7" x14ac:dyDescent="0.7">
      <c r="A5" s="58">
        <v>3</v>
      </c>
      <c r="B5" s="4" t="s">
        <v>71</v>
      </c>
      <c r="G5" s="4" t="s">
        <v>784</v>
      </c>
    </row>
    <row r="6" spans="1:7" x14ac:dyDescent="0.7">
      <c r="A6" s="58">
        <v>4</v>
      </c>
      <c r="B6" s="4" t="s">
        <v>784</v>
      </c>
      <c r="G6" s="4" t="s">
        <v>70</v>
      </c>
    </row>
    <row r="7" spans="1:7" x14ac:dyDescent="0.7">
      <c r="A7" s="58"/>
    </row>
    <row r="8" spans="1:7" x14ac:dyDescent="0.7">
      <c r="A8" s="58"/>
    </row>
    <row r="9" spans="1:7" x14ac:dyDescent="0.7">
      <c r="A9" s="58"/>
    </row>
    <row r="10" spans="1:7" x14ac:dyDescent="0.7">
      <c r="A10" s="58"/>
    </row>
    <row r="11" spans="1:7" x14ac:dyDescent="0.7">
      <c r="A11" s="58"/>
    </row>
    <row r="12" spans="1:7" x14ac:dyDescent="0.7">
      <c r="A12" s="58"/>
    </row>
    <row r="13" spans="1:7" x14ac:dyDescent="0.7">
      <c r="A13" s="58"/>
    </row>
    <row r="14" spans="1:7" x14ac:dyDescent="0.7">
      <c r="A14" s="58"/>
    </row>
    <row r="15" spans="1:7" x14ac:dyDescent="0.7">
      <c r="A15" s="58"/>
    </row>
    <row r="16" spans="1:7" x14ac:dyDescent="0.7">
      <c r="A16" s="58"/>
    </row>
    <row r="17" spans="1:1" x14ac:dyDescent="0.7">
      <c r="A17" s="58"/>
    </row>
    <row r="18" spans="1:1" x14ac:dyDescent="0.7">
      <c r="A18" s="58"/>
    </row>
    <row r="19" spans="1:1" x14ac:dyDescent="0.7">
      <c r="A19" s="58"/>
    </row>
    <row r="20" spans="1:1" x14ac:dyDescent="0.7">
      <c r="A20" s="58"/>
    </row>
    <row r="21" spans="1:1" x14ac:dyDescent="0.7">
      <c r="A21" s="58"/>
    </row>
    <row r="22" spans="1:1" x14ac:dyDescent="0.7">
      <c r="A22" s="58"/>
    </row>
    <row r="23" spans="1:1" x14ac:dyDescent="0.7">
      <c r="A23" s="58"/>
    </row>
    <row r="24" spans="1:1" x14ac:dyDescent="0.7">
      <c r="A24" s="58"/>
    </row>
    <row r="25" spans="1:1" x14ac:dyDescent="0.7">
      <c r="A25" s="58"/>
    </row>
    <row r="26" spans="1:1" x14ac:dyDescent="0.7">
      <c r="A26" s="58"/>
    </row>
    <row r="27" spans="1:1" x14ac:dyDescent="0.7">
      <c r="A27" s="58"/>
    </row>
    <row r="28" spans="1:1" x14ac:dyDescent="0.7">
      <c r="A28" s="58"/>
    </row>
    <row r="29" spans="1:1" x14ac:dyDescent="0.7">
      <c r="A29" s="58"/>
    </row>
    <row r="30" spans="1:1" x14ac:dyDescent="0.7">
      <c r="A30" s="58"/>
    </row>
    <row r="31" spans="1:1" x14ac:dyDescent="0.7">
      <c r="A31" s="58"/>
    </row>
  </sheetData>
  <sortState xmlns:xlrd2="http://schemas.microsoft.com/office/spreadsheetml/2017/richdata2" ref="G3:G6">
    <sortCondition ref="G3"/>
  </sortState>
  <mergeCells count="1">
    <mergeCell ref="A1:C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Vendors"/>
  <dimension ref="A1:G39"/>
  <sheetViews>
    <sheetView workbookViewId="0">
      <selection activeCell="F16" sqref="F16"/>
    </sheetView>
  </sheetViews>
  <sheetFormatPr defaultRowHeight="16.2" x14ac:dyDescent="0.7"/>
  <cols>
    <col min="1" max="1" width="8.83984375" style="4"/>
    <col min="2" max="2" width="18.83984375" style="4" bestFit="1" customWidth="1"/>
    <col min="3" max="3" width="14.83984375" style="4" bestFit="1" customWidth="1"/>
    <col min="4" max="6" width="8.83984375" style="4"/>
    <col min="7" max="7" width="18.83984375" style="4" bestFit="1" customWidth="1"/>
    <col min="8" max="16384" width="8.83984375" style="4"/>
  </cols>
  <sheetData>
    <row r="1" spans="1:7" x14ac:dyDescent="0.7">
      <c r="A1" s="120" t="s">
        <v>62</v>
      </c>
      <c r="B1" s="120"/>
      <c r="C1" s="120"/>
      <c r="G1" s="93" t="s">
        <v>68</v>
      </c>
    </row>
    <row r="2" spans="1:7" x14ac:dyDescent="0.7">
      <c r="A2" s="94" t="s">
        <v>63</v>
      </c>
      <c r="B2" s="94" t="s">
        <v>64</v>
      </c>
      <c r="C2" s="94"/>
      <c r="G2" s="94" t="s">
        <v>64</v>
      </c>
    </row>
    <row r="3" spans="1:7" x14ac:dyDescent="0.7">
      <c r="A3" s="58">
        <v>1</v>
      </c>
      <c r="B3" s="4" t="s">
        <v>65</v>
      </c>
      <c r="G3" s="4" t="s">
        <v>65</v>
      </c>
    </row>
    <row r="4" spans="1:7" x14ac:dyDescent="0.7">
      <c r="A4" s="58">
        <v>2</v>
      </c>
      <c r="B4" s="4" t="s">
        <v>66</v>
      </c>
      <c r="G4" s="4" t="s">
        <v>66</v>
      </c>
    </row>
    <row r="5" spans="1:7" x14ac:dyDescent="0.7">
      <c r="A5" s="58">
        <v>3</v>
      </c>
      <c r="B5" s="4" t="s">
        <v>67</v>
      </c>
      <c r="G5" s="4" t="s">
        <v>67</v>
      </c>
    </row>
    <row r="6" spans="1:7" x14ac:dyDescent="0.7">
      <c r="A6" s="58">
        <v>4</v>
      </c>
      <c r="B6" s="4" t="s">
        <v>783</v>
      </c>
      <c r="G6" s="4" t="s">
        <v>783</v>
      </c>
    </row>
    <row r="7" spans="1:7" x14ac:dyDescent="0.7">
      <c r="A7" s="58"/>
    </row>
    <row r="8" spans="1:7" x14ac:dyDescent="0.7">
      <c r="A8" s="58"/>
    </row>
    <row r="9" spans="1:7" x14ac:dyDescent="0.7">
      <c r="A9" s="58"/>
    </row>
    <row r="10" spans="1:7" x14ac:dyDescent="0.7">
      <c r="A10" s="58"/>
    </row>
    <row r="11" spans="1:7" x14ac:dyDescent="0.7">
      <c r="A11" s="58"/>
    </row>
    <row r="12" spans="1:7" x14ac:dyDescent="0.7">
      <c r="A12" s="58"/>
    </row>
    <row r="13" spans="1:7" x14ac:dyDescent="0.7">
      <c r="A13" s="58"/>
    </row>
    <row r="14" spans="1:7" x14ac:dyDescent="0.7">
      <c r="A14" s="58"/>
    </row>
    <row r="15" spans="1:7" x14ac:dyDescent="0.7">
      <c r="A15" s="58"/>
    </row>
    <row r="16" spans="1:7" x14ac:dyDescent="0.7">
      <c r="A16" s="58"/>
    </row>
    <row r="17" spans="1:1" x14ac:dyDescent="0.7">
      <c r="A17" s="58"/>
    </row>
    <row r="18" spans="1:1" x14ac:dyDescent="0.7">
      <c r="A18" s="58"/>
    </row>
    <row r="19" spans="1:1" x14ac:dyDescent="0.7">
      <c r="A19" s="58"/>
    </row>
    <row r="20" spans="1:1" x14ac:dyDescent="0.7">
      <c r="A20" s="58"/>
    </row>
    <row r="21" spans="1:1" x14ac:dyDescent="0.7">
      <c r="A21" s="58"/>
    </row>
    <row r="22" spans="1:1" x14ac:dyDescent="0.7">
      <c r="A22" s="58"/>
    </row>
    <row r="23" spans="1:1" x14ac:dyDescent="0.7">
      <c r="A23" s="58"/>
    </row>
    <row r="24" spans="1:1" x14ac:dyDescent="0.7">
      <c r="A24" s="58"/>
    </row>
    <row r="25" spans="1:1" x14ac:dyDescent="0.7">
      <c r="A25" s="58"/>
    </row>
    <row r="26" spans="1:1" x14ac:dyDescent="0.7">
      <c r="A26" s="58"/>
    </row>
    <row r="27" spans="1:1" x14ac:dyDescent="0.7">
      <c r="A27" s="58"/>
    </row>
    <row r="28" spans="1:1" x14ac:dyDescent="0.7">
      <c r="A28" s="58"/>
    </row>
    <row r="29" spans="1:1" x14ac:dyDescent="0.7">
      <c r="A29" s="58"/>
    </row>
    <row r="30" spans="1:1" x14ac:dyDescent="0.7">
      <c r="A30" s="58"/>
    </row>
    <row r="31" spans="1:1" x14ac:dyDescent="0.7">
      <c r="A31" s="58"/>
    </row>
    <row r="32" spans="1:1" x14ac:dyDescent="0.7">
      <c r="A32" s="58"/>
    </row>
    <row r="33" spans="1:1" x14ac:dyDescent="0.7">
      <c r="A33" s="58"/>
    </row>
    <row r="34" spans="1:1" x14ac:dyDescent="0.7">
      <c r="A34" s="58"/>
    </row>
    <row r="35" spans="1:1" x14ac:dyDescent="0.7">
      <c r="A35" s="58"/>
    </row>
    <row r="36" spans="1:1" x14ac:dyDescent="0.7">
      <c r="A36" s="58"/>
    </row>
    <row r="37" spans="1:1" x14ac:dyDescent="0.7">
      <c r="A37" s="58"/>
    </row>
    <row r="38" spans="1:1" x14ac:dyDescent="0.7">
      <c r="A38" s="58"/>
    </row>
    <row r="39" spans="1:1" x14ac:dyDescent="0.7">
      <c r="A39" s="58"/>
    </row>
  </sheetData>
  <sortState xmlns:xlrd2="http://schemas.microsoft.com/office/spreadsheetml/2017/richdata2" ref="G3:G6">
    <sortCondition ref="G3"/>
  </sortState>
  <mergeCells count="1">
    <mergeCell ref="A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roducts"/>
  <dimension ref="A1:O640"/>
  <sheetViews>
    <sheetView workbookViewId="0">
      <selection activeCell="C21" sqref="C21"/>
    </sheetView>
  </sheetViews>
  <sheetFormatPr defaultRowHeight="16.2" x14ac:dyDescent="0.7"/>
  <cols>
    <col min="1" max="1" width="9.15625" style="4" customWidth="1"/>
    <col min="2" max="2" width="18" style="4" customWidth="1"/>
    <col min="3" max="3" width="18.578125" style="4" bestFit="1" customWidth="1"/>
    <col min="4" max="4" width="15.47265625" style="4" bestFit="1" customWidth="1"/>
    <col min="5" max="5" width="12" style="4" customWidth="1"/>
    <col min="6" max="6" width="16.41796875" style="4" customWidth="1"/>
    <col min="7" max="9" width="8.83984375" style="4"/>
    <col min="10" max="10" width="19.26171875" style="4" customWidth="1"/>
    <col min="11" max="11" width="12" style="4" customWidth="1"/>
    <col min="12" max="13" width="8.83984375" style="4"/>
    <col min="14" max="14" width="9.15625" style="4"/>
    <col min="15" max="15" width="16.41796875" style="4" bestFit="1" customWidth="1"/>
    <col min="16" max="16384" width="8.83984375" style="4"/>
  </cols>
  <sheetData>
    <row r="1" spans="1:15" x14ac:dyDescent="0.7">
      <c r="A1" s="121" t="s">
        <v>121</v>
      </c>
      <c r="B1" s="122"/>
      <c r="C1" s="122"/>
      <c r="D1" s="122"/>
      <c r="E1" s="122"/>
      <c r="F1" s="122"/>
      <c r="J1" s="123" t="s">
        <v>116</v>
      </c>
      <c r="K1" s="123"/>
      <c r="N1" s="123" t="s">
        <v>116</v>
      </c>
      <c r="O1" s="123"/>
    </row>
    <row r="2" spans="1:15" x14ac:dyDescent="0.7">
      <c r="A2" s="59" t="s">
        <v>333</v>
      </c>
      <c r="B2" s="59" t="s">
        <v>4</v>
      </c>
      <c r="C2" s="59" t="s">
        <v>34</v>
      </c>
      <c r="D2" s="59" t="s">
        <v>122</v>
      </c>
      <c r="E2" s="59" t="s">
        <v>786</v>
      </c>
      <c r="F2" s="59" t="s">
        <v>787</v>
      </c>
      <c r="J2" s="59" t="s">
        <v>34</v>
      </c>
      <c r="K2" s="59" t="s">
        <v>122</v>
      </c>
      <c r="N2" s="59" t="s">
        <v>333</v>
      </c>
      <c r="O2" s="59" t="s">
        <v>4</v>
      </c>
    </row>
    <row r="3" spans="1:15" x14ac:dyDescent="0.7">
      <c r="A3" s="4">
        <v>1545154</v>
      </c>
      <c r="B3" s="4" t="s">
        <v>123</v>
      </c>
      <c r="C3" s="4" t="s">
        <v>37</v>
      </c>
      <c r="D3" s="4" t="s">
        <v>43</v>
      </c>
      <c r="E3" s="63">
        <v>1.49</v>
      </c>
      <c r="F3" s="63">
        <v>2.4900000000000002</v>
      </c>
      <c r="J3" s="4" t="s">
        <v>37</v>
      </c>
      <c r="K3" s="4" t="s">
        <v>44</v>
      </c>
      <c r="N3" s="4">
        <v>4633356</v>
      </c>
      <c r="O3" s="4" t="s">
        <v>126</v>
      </c>
    </row>
    <row r="4" spans="1:15" x14ac:dyDescent="0.7">
      <c r="A4" s="4">
        <v>5858103</v>
      </c>
      <c r="B4" s="4" t="s">
        <v>124</v>
      </c>
      <c r="C4" s="4" t="s">
        <v>37</v>
      </c>
      <c r="D4" s="4" t="s">
        <v>43</v>
      </c>
      <c r="E4" s="63">
        <v>1.53</v>
      </c>
      <c r="F4" s="63">
        <v>3.61</v>
      </c>
      <c r="N4" s="4">
        <v>2464168</v>
      </c>
      <c r="O4" s="4" t="s">
        <v>127</v>
      </c>
    </row>
    <row r="5" spans="1:15" x14ac:dyDescent="0.7">
      <c r="A5" s="4">
        <v>8285186</v>
      </c>
      <c r="B5" s="4" t="s">
        <v>125</v>
      </c>
      <c r="C5" s="4" t="s">
        <v>37</v>
      </c>
      <c r="D5" s="4" t="s">
        <v>43</v>
      </c>
      <c r="E5" s="63">
        <v>1.4</v>
      </c>
      <c r="F5" s="63">
        <v>3.86</v>
      </c>
      <c r="N5" s="4">
        <v>1479002</v>
      </c>
      <c r="O5" s="4" t="s">
        <v>338</v>
      </c>
    </row>
    <row r="6" spans="1:15" x14ac:dyDescent="0.7">
      <c r="A6" s="4">
        <v>8159837</v>
      </c>
      <c r="B6" s="4" t="s">
        <v>336</v>
      </c>
      <c r="C6" s="4" t="s">
        <v>37</v>
      </c>
      <c r="D6" s="4" t="s">
        <v>43</v>
      </c>
      <c r="E6" s="63">
        <v>1.56</v>
      </c>
      <c r="F6" s="63">
        <v>2.44</v>
      </c>
      <c r="N6" s="4">
        <v>9250060</v>
      </c>
      <c r="O6" s="4" t="s">
        <v>339</v>
      </c>
    </row>
    <row r="7" spans="1:15" x14ac:dyDescent="0.7">
      <c r="A7" s="4">
        <v>2553863</v>
      </c>
      <c r="B7" s="4" t="s">
        <v>337</v>
      </c>
      <c r="C7" s="4" t="s">
        <v>37</v>
      </c>
      <c r="D7" s="4" t="s">
        <v>43</v>
      </c>
      <c r="E7" s="63">
        <v>1.58</v>
      </c>
      <c r="F7" s="63">
        <v>3.5</v>
      </c>
      <c r="N7" s="4">
        <v>9607000</v>
      </c>
      <c r="O7" s="4" t="s">
        <v>340</v>
      </c>
    </row>
    <row r="8" spans="1:15" x14ac:dyDescent="0.7">
      <c r="A8" s="4">
        <v>4633356</v>
      </c>
      <c r="B8" s="4" t="s">
        <v>126</v>
      </c>
      <c r="C8" s="4" t="s">
        <v>37</v>
      </c>
      <c r="D8" s="4" t="s">
        <v>44</v>
      </c>
      <c r="E8" s="63">
        <v>1.1499999999999999</v>
      </c>
      <c r="F8" s="63">
        <v>2.56</v>
      </c>
      <c r="N8" s="4">
        <v>3202786</v>
      </c>
      <c r="O8" s="4" t="s">
        <v>479</v>
      </c>
    </row>
    <row r="9" spans="1:15" x14ac:dyDescent="0.7">
      <c r="A9" s="4">
        <v>2464168</v>
      </c>
      <c r="B9" s="4" t="s">
        <v>127</v>
      </c>
      <c r="C9" s="4" t="s">
        <v>37</v>
      </c>
      <c r="D9" s="4" t="s">
        <v>44</v>
      </c>
      <c r="E9" s="63">
        <v>1.63</v>
      </c>
      <c r="F9" s="63">
        <v>2.2799999999999998</v>
      </c>
      <c r="N9" s="4">
        <v>5045489</v>
      </c>
      <c r="O9" s="4" t="s">
        <v>480</v>
      </c>
    </row>
    <row r="10" spans="1:15" x14ac:dyDescent="0.7">
      <c r="A10" s="4">
        <v>1479002</v>
      </c>
      <c r="B10" s="4" t="s">
        <v>338</v>
      </c>
      <c r="C10" s="4" t="s">
        <v>37</v>
      </c>
      <c r="D10" s="4" t="s">
        <v>44</v>
      </c>
      <c r="E10" s="63">
        <v>1.1499999999999999</v>
      </c>
      <c r="F10" s="63">
        <v>2.4900000000000002</v>
      </c>
      <c r="N10" s="4">
        <v>3368625</v>
      </c>
      <c r="O10" s="4" t="s">
        <v>481</v>
      </c>
    </row>
    <row r="11" spans="1:15" x14ac:dyDescent="0.7">
      <c r="A11" s="4">
        <v>9250060</v>
      </c>
      <c r="B11" s="4" t="s">
        <v>339</v>
      </c>
      <c r="C11" s="4" t="s">
        <v>37</v>
      </c>
      <c r="D11" s="4" t="s">
        <v>44</v>
      </c>
      <c r="E11" s="63">
        <v>1.02</v>
      </c>
      <c r="F11" s="63">
        <v>2.4900000000000002</v>
      </c>
      <c r="N11" s="4">
        <v>3449468</v>
      </c>
      <c r="O11" s="4" t="s">
        <v>482</v>
      </c>
    </row>
    <row r="12" spans="1:15" x14ac:dyDescent="0.7">
      <c r="A12" s="4">
        <v>9607000</v>
      </c>
      <c r="B12" s="4" t="s">
        <v>340</v>
      </c>
      <c r="C12" s="4" t="s">
        <v>37</v>
      </c>
      <c r="D12" s="4" t="s">
        <v>44</v>
      </c>
      <c r="E12" s="63">
        <v>1.0900000000000001</v>
      </c>
      <c r="F12" s="63">
        <v>2.48</v>
      </c>
    </row>
    <row r="13" spans="1:15" x14ac:dyDescent="0.7">
      <c r="A13" s="4">
        <v>7553329</v>
      </c>
      <c r="B13" s="4" t="s">
        <v>128</v>
      </c>
      <c r="C13" s="4" t="s">
        <v>37</v>
      </c>
      <c r="D13" s="4" t="s">
        <v>45</v>
      </c>
      <c r="E13" s="63">
        <v>1.68</v>
      </c>
      <c r="F13" s="63">
        <v>2.93</v>
      </c>
    </row>
    <row r="14" spans="1:15" x14ac:dyDescent="0.7">
      <c r="A14" s="4">
        <v>9370262</v>
      </c>
      <c r="B14" s="4" t="s">
        <v>341</v>
      </c>
      <c r="C14" s="4" t="s">
        <v>37</v>
      </c>
      <c r="D14" s="4" t="s">
        <v>45</v>
      </c>
      <c r="E14" s="63">
        <v>1.71</v>
      </c>
      <c r="F14" s="63">
        <v>2.12</v>
      </c>
    </row>
    <row r="15" spans="1:15" x14ac:dyDescent="0.7">
      <c r="A15" s="4">
        <v>3957361</v>
      </c>
      <c r="B15" s="4" t="s">
        <v>342</v>
      </c>
      <c r="C15" s="4" t="s">
        <v>37</v>
      </c>
      <c r="D15" s="4" t="s">
        <v>45</v>
      </c>
      <c r="E15" s="63">
        <v>1.68</v>
      </c>
      <c r="F15" s="63">
        <v>3.54</v>
      </c>
    </row>
    <row r="16" spans="1:15" x14ac:dyDescent="0.7">
      <c r="A16" s="4">
        <v>5755425</v>
      </c>
      <c r="B16" s="4" t="s">
        <v>343</v>
      </c>
      <c r="C16" s="4" t="s">
        <v>37</v>
      </c>
      <c r="D16" s="4" t="s">
        <v>45</v>
      </c>
      <c r="E16" s="63">
        <v>1.73</v>
      </c>
      <c r="F16" s="63">
        <v>2.44</v>
      </c>
    </row>
    <row r="17" spans="1:6" x14ac:dyDescent="0.7">
      <c r="A17" s="4">
        <v>2805623</v>
      </c>
      <c r="B17" s="4" t="s">
        <v>344</v>
      </c>
      <c r="C17" s="4" t="s">
        <v>37</v>
      </c>
      <c r="D17" s="4" t="s">
        <v>45</v>
      </c>
      <c r="E17" s="63">
        <v>1.48</v>
      </c>
      <c r="F17" s="63">
        <v>3.22</v>
      </c>
    </row>
    <row r="18" spans="1:6" x14ac:dyDescent="0.7">
      <c r="A18" s="4">
        <v>6425721</v>
      </c>
      <c r="B18" s="4" t="s">
        <v>129</v>
      </c>
      <c r="C18" s="4" t="s">
        <v>37</v>
      </c>
      <c r="D18" s="4" t="s">
        <v>46</v>
      </c>
      <c r="E18" s="63">
        <v>1.32</v>
      </c>
      <c r="F18" s="63">
        <v>3.08</v>
      </c>
    </row>
    <row r="19" spans="1:6" x14ac:dyDescent="0.7">
      <c r="A19" s="4">
        <v>5502084</v>
      </c>
      <c r="B19" s="4" t="s">
        <v>130</v>
      </c>
      <c r="C19" s="4" t="s">
        <v>37</v>
      </c>
      <c r="D19" s="4" t="s">
        <v>46</v>
      </c>
      <c r="E19" s="63">
        <v>1.74</v>
      </c>
      <c r="F19" s="63">
        <v>3.31</v>
      </c>
    </row>
    <row r="20" spans="1:6" x14ac:dyDescent="0.7">
      <c r="A20" s="4">
        <v>5067896</v>
      </c>
      <c r="B20" s="4" t="s">
        <v>131</v>
      </c>
      <c r="C20" s="4" t="s">
        <v>37</v>
      </c>
      <c r="D20" s="4" t="s">
        <v>46</v>
      </c>
      <c r="E20" s="63">
        <v>1.93</v>
      </c>
      <c r="F20" s="63">
        <v>2.85</v>
      </c>
    </row>
    <row r="21" spans="1:6" x14ac:dyDescent="0.7">
      <c r="A21" s="4">
        <v>7966410</v>
      </c>
      <c r="B21" s="4" t="s">
        <v>93</v>
      </c>
      <c r="C21" s="4" t="s">
        <v>37</v>
      </c>
      <c r="D21" s="4" t="s">
        <v>46</v>
      </c>
      <c r="E21" s="63">
        <v>1.82</v>
      </c>
      <c r="F21" s="63">
        <v>3.19</v>
      </c>
    </row>
    <row r="22" spans="1:6" x14ac:dyDescent="0.7">
      <c r="A22" s="4">
        <v>1552220</v>
      </c>
      <c r="B22" s="4" t="s">
        <v>132</v>
      </c>
      <c r="C22" s="4" t="s">
        <v>37</v>
      </c>
      <c r="D22" s="4" t="s">
        <v>46</v>
      </c>
      <c r="E22" s="63">
        <v>1.66</v>
      </c>
      <c r="F22" s="63">
        <v>3.17</v>
      </c>
    </row>
    <row r="23" spans="1:6" x14ac:dyDescent="0.7">
      <c r="A23" s="4">
        <v>9255090</v>
      </c>
      <c r="B23" s="4" t="s">
        <v>133</v>
      </c>
      <c r="C23" s="4" t="s">
        <v>37</v>
      </c>
      <c r="D23" s="4" t="s">
        <v>77</v>
      </c>
      <c r="E23" s="63">
        <v>1.34</v>
      </c>
      <c r="F23" s="63">
        <v>2.15</v>
      </c>
    </row>
    <row r="24" spans="1:6" x14ac:dyDescent="0.7">
      <c r="A24" s="4">
        <v>9555595</v>
      </c>
      <c r="B24" s="4" t="s">
        <v>345</v>
      </c>
      <c r="C24" s="4" t="s">
        <v>37</v>
      </c>
      <c r="D24" s="4" t="s">
        <v>77</v>
      </c>
      <c r="E24" s="63">
        <v>1.29</v>
      </c>
      <c r="F24" s="63">
        <v>2.97</v>
      </c>
    </row>
    <row r="25" spans="1:6" x14ac:dyDescent="0.7">
      <c r="A25" s="4">
        <v>2087482</v>
      </c>
      <c r="B25" s="4" t="s">
        <v>134</v>
      </c>
      <c r="C25" s="4" t="s">
        <v>37</v>
      </c>
      <c r="D25" s="4" t="s">
        <v>77</v>
      </c>
      <c r="E25" s="63">
        <v>1.1000000000000001</v>
      </c>
      <c r="F25" s="63">
        <v>3.41</v>
      </c>
    </row>
    <row r="26" spans="1:6" x14ac:dyDescent="0.7">
      <c r="A26" s="4">
        <v>9197525</v>
      </c>
      <c r="B26" s="4" t="s">
        <v>135</v>
      </c>
      <c r="C26" s="4" t="s">
        <v>37</v>
      </c>
      <c r="D26" s="4" t="s">
        <v>77</v>
      </c>
      <c r="E26" s="63">
        <v>1.38</v>
      </c>
      <c r="F26" s="63">
        <v>2.75</v>
      </c>
    </row>
    <row r="27" spans="1:6" x14ac:dyDescent="0.7">
      <c r="A27" s="4">
        <v>5605538</v>
      </c>
      <c r="B27" s="4" t="s">
        <v>136</v>
      </c>
      <c r="C27" s="4" t="s">
        <v>37</v>
      </c>
      <c r="D27" s="4" t="s">
        <v>77</v>
      </c>
      <c r="E27" s="63">
        <v>1.77</v>
      </c>
      <c r="F27" s="63">
        <v>2.68</v>
      </c>
    </row>
    <row r="28" spans="1:6" x14ac:dyDescent="0.7">
      <c r="A28" s="4">
        <v>5236550</v>
      </c>
      <c r="B28" s="4" t="s">
        <v>137</v>
      </c>
      <c r="C28" s="4" t="s">
        <v>37</v>
      </c>
      <c r="D28" s="4" t="s">
        <v>138</v>
      </c>
      <c r="E28" s="63">
        <v>1.65</v>
      </c>
      <c r="F28" s="63">
        <v>2.21</v>
      </c>
    </row>
    <row r="29" spans="1:6" x14ac:dyDescent="0.7">
      <c r="A29" s="4">
        <v>3097859</v>
      </c>
      <c r="B29" s="4" t="s">
        <v>139</v>
      </c>
      <c r="C29" s="4" t="s">
        <v>37</v>
      </c>
      <c r="D29" s="4" t="s">
        <v>138</v>
      </c>
      <c r="E29" s="63">
        <v>1.1000000000000001</v>
      </c>
      <c r="F29" s="63">
        <v>3</v>
      </c>
    </row>
    <row r="30" spans="1:6" x14ac:dyDescent="0.7">
      <c r="A30" s="4">
        <v>7244328</v>
      </c>
      <c r="B30" s="4" t="s">
        <v>140</v>
      </c>
      <c r="C30" s="4" t="s">
        <v>37</v>
      </c>
      <c r="D30" s="4" t="s">
        <v>138</v>
      </c>
      <c r="E30" s="63">
        <v>1.1000000000000001</v>
      </c>
      <c r="F30" s="63">
        <v>2.23</v>
      </c>
    </row>
    <row r="31" spans="1:6" x14ac:dyDescent="0.7">
      <c r="A31" s="4">
        <v>5906440</v>
      </c>
      <c r="B31" s="4" t="s">
        <v>141</v>
      </c>
      <c r="C31" s="4" t="s">
        <v>37</v>
      </c>
      <c r="D31" s="4" t="s">
        <v>138</v>
      </c>
      <c r="E31" s="63">
        <v>1</v>
      </c>
      <c r="F31" s="63">
        <v>3.15</v>
      </c>
    </row>
    <row r="32" spans="1:6" x14ac:dyDescent="0.7">
      <c r="A32" s="4">
        <v>3344441</v>
      </c>
      <c r="B32" s="4" t="s">
        <v>346</v>
      </c>
      <c r="C32" s="4" t="s">
        <v>37</v>
      </c>
      <c r="D32" s="4" t="s">
        <v>138</v>
      </c>
      <c r="E32" s="63">
        <v>1.17</v>
      </c>
      <c r="F32" s="63">
        <v>3.5</v>
      </c>
    </row>
    <row r="33" spans="1:6" x14ac:dyDescent="0.7">
      <c r="A33" s="4">
        <v>5752935</v>
      </c>
      <c r="B33" s="4" t="s">
        <v>142</v>
      </c>
      <c r="C33" s="4" t="s">
        <v>37</v>
      </c>
      <c r="D33" s="4" t="s">
        <v>82</v>
      </c>
      <c r="E33" s="63">
        <v>1.66</v>
      </c>
      <c r="F33" s="63">
        <v>3.94</v>
      </c>
    </row>
    <row r="34" spans="1:6" x14ac:dyDescent="0.7">
      <c r="A34" s="4">
        <v>7762259</v>
      </c>
      <c r="B34" s="4" t="s">
        <v>347</v>
      </c>
      <c r="C34" s="4" t="s">
        <v>37</v>
      </c>
      <c r="D34" s="4" t="s">
        <v>82</v>
      </c>
      <c r="E34" s="63">
        <v>1.44</v>
      </c>
      <c r="F34" s="63">
        <v>2.15</v>
      </c>
    </row>
    <row r="35" spans="1:6" x14ac:dyDescent="0.7">
      <c r="A35" s="4">
        <v>7493406</v>
      </c>
      <c r="B35" s="4" t="s">
        <v>143</v>
      </c>
      <c r="C35" s="4" t="s">
        <v>37</v>
      </c>
      <c r="D35" s="4" t="s">
        <v>82</v>
      </c>
      <c r="E35" s="63">
        <v>1.29</v>
      </c>
      <c r="F35" s="63">
        <v>2.5099999999999998</v>
      </c>
    </row>
    <row r="36" spans="1:6" x14ac:dyDescent="0.7">
      <c r="A36" s="4">
        <v>1197909</v>
      </c>
      <c r="B36" s="4" t="s">
        <v>348</v>
      </c>
      <c r="C36" s="4" t="s">
        <v>37</v>
      </c>
      <c r="D36" s="4" t="s">
        <v>82</v>
      </c>
      <c r="E36" s="63">
        <v>1.19</v>
      </c>
      <c r="F36" s="63">
        <v>2.56</v>
      </c>
    </row>
    <row r="37" spans="1:6" x14ac:dyDescent="0.7">
      <c r="A37" s="4">
        <v>5066664</v>
      </c>
      <c r="B37" s="4" t="s">
        <v>349</v>
      </c>
      <c r="C37" s="4" t="s">
        <v>37</v>
      </c>
      <c r="D37" s="4" t="s">
        <v>82</v>
      </c>
      <c r="E37" s="63">
        <v>1.76</v>
      </c>
      <c r="F37" s="63">
        <v>3.89</v>
      </c>
    </row>
    <row r="38" spans="1:6" x14ac:dyDescent="0.7">
      <c r="A38" s="4">
        <v>8260368</v>
      </c>
      <c r="B38" s="4" t="s">
        <v>144</v>
      </c>
      <c r="C38" s="4" t="s">
        <v>37</v>
      </c>
      <c r="D38" s="4" t="s">
        <v>145</v>
      </c>
      <c r="E38" s="63">
        <v>1.48</v>
      </c>
      <c r="F38" s="63">
        <v>3.5</v>
      </c>
    </row>
    <row r="39" spans="1:6" x14ac:dyDescent="0.7">
      <c r="A39" s="4">
        <v>8474415</v>
      </c>
      <c r="B39" s="4" t="s">
        <v>76</v>
      </c>
      <c r="C39" s="4" t="s">
        <v>37</v>
      </c>
      <c r="D39" s="4" t="s">
        <v>145</v>
      </c>
      <c r="E39" s="63">
        <v>1.48</v>
      </c>
      <c r="F39" s="63">
        <v>3.93</v>
      </c>
    </row>
    <row r="40" spans="1:6" x14ac:dyDescent="0.7">
      <c r="A40" s="4">
        <v>5427773</v>
      </c>
      <c r="B40" s="4" t="s">
        <v>146</v>
      </c>
      <c r="C40" s="4" t="s">
        <v>37</v>
      </c>
      <c r="D40" s="4" t="s">
        <v>145</v>
      </c>
      <c r="E40" s="63">
        <v>1.47</v>
      </c>
      <c r="F40" s="63">
        <v>3.87</v>
      </c>
    </row>
    <row r="41" spans="1:6" x14ac:dyDescent="0.7">
      <c r="A41" s="4">
        <v>7794179</v>
      </c>
      <c r="B41" s="4" t="s">
        <v>147</v>
      </c>
      <c r="C41" s="4" t="s">
        <v>37</v>
      </c>
      <c r="D41" s="4" t="s">
        <v>145</v>
      </c>
      <c r="E41" s="63">
        <v>1.59</v>
      </c>
      <c r="F41" s="63">
        <v>3.59</v>
      </c>
    </row>
    <row r="42" spans="1:6" x14ac:dyDescent="0.7">
      <c r="A42" s="4">
        <v>6364967</v>
      </c>
      <c r="B42" s="4" t="s">
        <v>148</v>
      </c>
      <c r="C42" s="4" t="s">
        <v>37</v>
      </c>
      <c r="D42" s="4" t="s">
        <v>145</v>
      </c>
      <c r="E42" s="63">
        <v>1.98</v>
      </c>
      <c r="F42" s="63">
        <v>3.29</v>
      </c>
    </row>
    <row r="43" spans="1:6" x14ac:dyDescent="0.7">
      <c r="A43" s="4">
        <v>3748690</v>
      </c>
      <c r="B43" s="4" t="s">
        <v>149</v>
      </c>
      <c r="C43" s="4" t="s">
        <v>37</v>
      </c>
      <c r="D43" s="4" t="s">
        <v>150</v>
      </c>
      <c r="E43" s="63">
        <v>1.3</v>
      </c>
      <c r="F43" s="63">
        <v>2.85</v>
      </c>
    </row>
    <row r="44" spans="1:6" x14ac:dyDescent="0.7">
      <c r="A44" s="4">
        <v>1298948</v>
      </c>
      <c r="B44" s="4" t="s">
        <v>350</v>
      </c>
      <c r="C44" s="4" t="s">
        <v>37</v>
      </c>
      <c r="D44" s="4" t="s">
        <v>150</v>
      </c>
      <c r="E44" s="63">
        <v>1.3</v>
      </c>
      <c r="F44" s="63">
        <v>3.62</v>
      </c>
    </row>
    <row r="45" spans="1:6" x14ac:dyDescent="0.7">
      <c r="A45" s="4">
        <v>5791316</v>
      </c>
      <c r="B45" s="4" t="s">
        <v>351</v>
      </c>
      <c r="C45" s="4" t="s">
        <v>37</v>
      </c>
      <c r="D45" s="4" t="s">
        <v>150</v>
      </c>
      <c r="E45" s="63">
        <v>1.7</v>
      </c>
      <c r="F45" s="63">
        <v>2.02</v>
      </c>
    </row>
    <row r="46" spans="1:6" x14ac:dyDescent="0.7">
      <c r="A46" s="4">
        <v>8544264</v>
      </c>
      <c r="B46" s="4" t="s">
        <v>352</v>
      </c>
      <c r="C46" s="4" t="s">
        <v>37</v>
      </c>
      <c r="D46" s="4" t="s">
        <v>150</v>
      </c>
      <c r="E46" s="63">
        <v>1.66</v>
      </c>
      <c r="F46" s="63">
        <v>3.86</v>
      </c>
    </row>
    <row r="47" spans="1:6" x14ac:dyDescent="0.7">
      <c r="A47" s="4">
        <v>6997002</v>
      </c>
      <c r="B47" s="4" t="s">
        <v>151</v>
      </c>
      <c r="C47" s="4" t="s">
        <v>37</v>
      </c>
      <c r="D47" s="4" t="s">
        <v>152</v>
      </c>
      <c r="E47" s="63">
        <v>1.9</v>
      </c>
      <c r="F47" s="63">
        <v>2.78</v>
      </c>
    </row>
    <row r="48" spans="1:6" x14ac:dyDescent="0.7">
      <c r="A48" s="4">
        <v>5583664</v>
      </c>
      <c r="B48" s="4" t="s">
        <v>153</v>
      </c>
      <c r="C48" s="4" t="s">
        <v>37</v>
      </c>
      <c r="D48" s="4" t="s">
        <v>152</v>
      </c>
      <c r="E48" s="63">
        <v>1.28</v>
      </c>
      <c r="F48" s="63">
        <v>2.79</v>
      </c>
    </row>
    <row r="49" spans="1:6" x14ac:dyDescent="0.7">
      <c r="A49" s="4">
        <v>1205020</v>
      </c>
      <c r="B49" s="4" t="s">
        <v>154</v>
      </c>
      <c r="C49" s="4" t="s">
        <v>37</v>
      </c>
      <c r="D49" s="4" t="s">
        <v>152</v>
      </c>
      <c r="E49" s="63">
        <v>1.62</v>
      </c>
      <c r="F49" s="63">
        <v>3.1</v>
      </c>
    </row>
    <row r="50" spans="1:6" x14ac:dyDescent="0.7">
      <c r="A50" s="4">
        <v>2624999</v>
      </c>
      <c r="B50" s="4" t="s">
        <v>155</v>
      </c>
      <c r="C50" s="4" t="s">
        <v>37</v>
      </c>
      <c r="D50" s="4" t="s">
        <v>152</v>
      </c>
      <c r="E50" s="63">
        <v>1.96</v>
      </c>
      <c r="F50" s="63">
        <v>3.51</v>
      </c>
    </row>
    <row r="51" spans="1:6" x14ac:dyDescent="0.7">
      <c r="A51" s="4">
        <v>7295276</v>
      </c>
      <c r="B51" s="4" t="s">
        <v>156</v>
      </c>
      <c r="C51" s="4" t="s">
        <v>37</v>
      </c>
      <c r="D51" s="4" t="s">
        <v>152</v>
      </c>
      <c r="E51" s="63">
        <v>1.1200000000000001</v>
      </c>
      <c r="F51" s="63">
        <v>3.65</v>
      </c>
    </row>
    <row r="52" spans="1:6" x14ac:dyDescent="0.7">
      <c r="A52" s="4">
        <v>6794292</v>
      </c>
      <c r="B52" s="4" t="s">
        <v>157</v>
      </c>
      <c r="C52" s="4" t="s">
        <v>37</v>
      </c>
      <c r="D52" s="4" t="s">
        <v>158</v>
      </c>
      <c r="E52" s="63">
        <v>1.72</v>
      </c>
      <c r="F52" s="63">
        <v>2.84</v>
      </c>
    </row>
    <row r="53" spans="1:6" x14ac:dyDescent="0.7">
      <c r="A53" s="4">
        <v>9007282</v>
      </c>
      <c r="B53" s="4" t="s">
        <v>159</v>
      </c>
      <c r="C53" s="4" t="s">
        <v>37</v>
      </c>
      <c r="D53" s="4" t="s">
        <v>158</v>
      </c>
      <c r="E53" s="63">
        <v>1.48</v>
      </c>
      <c r="F53" s="63">
        <v>2.59</v>
      </c>
    </row>
    <row r="54" spans="1:6" x14ac:dyDescent="0.7">
      <c r="A54" s="4">
        <v>7843068</v>
      </c>
      <c r="B54" s="4" t="s">
        <v>160</v>
      </c>
      <c r="C54" s="4" t="s">
        <v>37</v>
      </c>
      <c r="D54" s="4" t="s">
        <v>158</v>
      </c>
      <c r="E54" s="63">
        <v>1.17</v>
      </c>
      <c r="F54" s="63">
        <v>3.83</v>
      </c>
    </row>
    <row r="55" spans="1:6" x14ac:dyDescent="0.7">
      <c r="A55" s="4">
        <v>6652308</v>
      </c>
      <c r="B55" s="4" t="s">
        <v>161</v>
      </c>
      <c r="C55" s="4" t="s">
        <v>37</v>
      </c>
      <c r="D55" s="4" t="s">
        <v>158</v>
      </c>
      <c r="E55" s="63">
        <v>1.1599999999999999</v>
      </c>
      <c r="F55" s="63">
        <v>2.66</v>
      </c>
    </row>
    <row r="56" spans="1:6" x14ac:dyDescent="0.7">
      <c r="A56" s="4">
        <v>9065086</v>
      </c>
      <c r="B56" s="4" t="s">
        <v>162</v>
      </c>
      <c r="C56" s="4" t="s">
        <v>37</v>
      </c>
      <c r="D56" s="4" t="s">
        <v>158</v>
      </c>
      <c r="E56" s="63">
        <v>1.69</v>
      </c>
      <c r="F56" s="63">
        <v>2.59</v>
      </c>
    </row>
    <row r="57" spans="1:6" x14ac:dyDescent="0.7">
      <c r="A57" s="4">
        <v>6703184</v>
      </c>
      <c r="B57" s="4" t="s">
        <v>163</v>
      </c>
      <c r="C57" s="4" t="s">
        <v>37</v>
      </c>
      <c r="D57" s="4" t="s">
        <v>100</v>
      </c>
      <c r="E57" s="63">
        <v>1.47</v>
      </c>
      <c r="F57" s="63">
        <v>2.92</v>
      </c>
    </row>
    <row r="58" spans="1:6" x14ac:dyDescent="0.7">
      <c r="A58" s="4">
        <v>6389549</v>
      </c>
      <c r="B58" s="4" t="s">
        <v>164</v>
      </c>
      <c r="C58" s="4" t="s">
        <v>37</v>
      </c>
      <c r="D58" s="4" t="s">
        <v>100</v>
      </c>
      <c r="E58" s="63">
        <v>1.74</v>
      </c>
      <c r="F58" s="63">
        <v>2.12</v>
      </c>
    </row>
    <row r="59" spans="1:6" x14ac:dyDescent="0.7">
      <c r="A59" s="4">
        <v>1450934</v>
      </c>
      <c r="B59" s="4" t="s">
        <v>165</v>
      </c>
      <c r="C59" s="4" t="s">
        <v>37</v>
      </c>
      <c r="D59" s="4" t="s">
        <v>100</v>
      </c>
      <c r="E59" s="63">
        <v>1.47</v>
      </c>
      <c r="F59" s="63">
        <v>3.34</v>
      </c>
    </row>
    <row r="60" spans="1:6" x14ac:dyDescent="0.7">
      <c r="A60" s="4">
        <v>4810246</v>
      </c>
      <c r="B60" s="4" t="s">
        <v>166</v>
      </c>
      <c r="C60" s="4" t="s">
        <v>37</v>
      </c>
      <c r="D60" s="4" t="s">
        <v>100</v>
      </c>
      <c r="E60" s="63">
        <v>1.96</v>
      </c>
      <c r="F60" s="63">
        <v>3.89</v>
      </c>
    </row>
    <row r="61" spans="1:6" x14ac:dyDescent="0.7">
      <c r="A61" s="4">
        <v>2335418</v>
      </c>
      <c r="B61" s="4" t="s">
        <v>167</v>
      </c>
      <c r="C61" s="4" t="s">
        <v>37</v>
      </c>
      <c r="D61" s="4" t="s">
        <v>100</v>
      </c>
      <c r="E61" s="63">
        <v>1.21</v>
      </c>
      <c r="F61" s="63">
        <v>2.82</v>
      </c>
    </row>
    <row r="62" spans="1:6" x14ac:dyDescent="0.7">
      <c r="A62" s="4">
        <v>3584192</v>
      </c>
      <c r="B62" s="4" t="s">
        <v>47</v>
      </c>
      <c r="C62" s="4" t="s">
        <v>38</v>
      </c>
      <c r="D62" s="4" t="s">
        <v>3</v>
      </c>
      <c r="E62" s="63">
        <v>1.3</v>
      </c>
      <c r="F62" s="63">
        <v>2.91</v>
      </c>
    </row>
    <row r="63" spans="1:6" x14ac:dyDescent="0.7">
      <c r="A63" s="4">
        <v>4477799</v>
      </c>
      <c r="B63" s="4" t="s">
        <v>353</v>
      </c>
      <c r="C63" s="4" t="s">
        <v>38</v>
      </c>
      <c r="D63" s="4" t="s">
        <v>3</v>
      </c>
      <c r="E63" s="63">
        <v>1.36</v>
      </c>
      <c r="F63" s="63">
        <v>2.02</v>
      </c>
    </row>
    <row r="64" spans="1:6" x14ac:dyDescent="0.7">
      <c r="A64" s="4">
        <v>5880658</v>
      </c>
      <c r="B64" s="4" t="s">
        <v>168</v>
      </c>
      <c r="C64" s="4" t="s">
        <v>38</v>
      </c>
      <c r="D64" s="4" t="s">
        <v>3</v>
      </c>
      <c r="E64" s="63">
        <v>1.34</v>
      </c>
      <c r="F64" s="63">
        <v>3.67</v>
      </c>
    </row>
    <row r="65" spans="1:6" x14ac:dyDescent="0.7">
      <c r="A65" s="4">
        <v>1967593</v>
      </c>
      <c r="B65" s="4" t="s">
        <v>354</v>
      </c>
      <c r="C65" s="4" t="s">
        <v>38</v>
      </c>
      <c r="D65" s="4" t="s">
        <v>3</v>
      </c>
      <c r="E65" s="63">
        <v>1.65</v>
      </c>
      <c r="F65" s="63">
        <v>3.85</v>
      </c>
    </row>
    <row r="66" spans="1:6" x14ac:dyDescent="0.7">
      <c r="A66" s="4">
        <v>9253664</v>
      </c>
      <c r="B66" s="4" t="s">
        <v>169</v>
      </c>
      <c r="C66" s="4" t="s">
        <v>38</v>
      </c>
      <c r="D66" s="4" t="s">
        <v>3</v>
      </c>
      <c r="E66" s="63">
        <v>1.78</v>
      </c>
      <c r="F66" s="63">
        <v>3.45</v>
      </c>
    </row>
    <row r="67" spans="1:6" x14ac:dyDescent="0.7">
      <c r="A67" s="4">
        <v>1570467</v>
      </c>
      <c r="B67" s="4" t="s">
        <v>170</v>
      </c>
      <c r="C67" s="4" t="s">
        <v>38</v>
      </c>
      <c r="D67" s="4" t="s">
        <v>171</v>
      </c>
      <c r="E67" s="63">
        <v>1.6</v>
      </c>
      <c r="F67" s="63">
        <v>2.12</v>
      </c>
    </row>
    <row r="68" spans="1:6" x14ac:dyDescent="0.7">
      <c r="A68" s="4">
        <v>2534937</v>
      </c>
      <c r="B68" s="4" t="s">
        <v>172</v>
      </c>
      <c r="C68" s="4" t="s">
        <v>38</v>
      </c>
      <c r="D68" s="4" t="s">
        <v>171</v>
      </c>
      <c r="E68" s="63">
        <v>1.93</v>
      </c>
      <c r="F68" s="63">
        <v>2.13</v>
      </c>
    </row>
    <row r="69" spans="1:6" x14ac:dyDescent="0.7">
      <c r="A69" s="4">
        <v>4151666</v>
      </c>
      <c r="B69" s="4" t="s">
        <v>173</v>
      </c>
      <c r="C69" s="4" t="s">
        <v>38</v>
      </c>
      <c r="D69" s="4" t="s">
        <v>171</v>
      </c>
      <c r="E69" s="63">
        <v>1.25</v>
      </c>
      <c r="F69" s="63">
        <v>2.21</v>
      </c>
    </row>
    <row r="70" spans="1:6" x14ac:dyDescent="0.7">
      <c r="A70" s="4">
        <v>7315740</v>
      </c>
      <c r="B70" s="4" t="s">
        <v>174</v>
      </c>
      <c r="C70" s="4" t="s">
        <v>38</v>
      </c>
      <c r="D70" s="4" t="s">
        <v>171</v>
      </c>
      <c r="E70" s="63">
        <v>1.49</v>
      </c>
      <c r="F70" s="63">
        <v>3.71</v>
      </c>
    </row>
    <row r="71" spans="1:6" x14ac:dyDescent="0.7">
      <c r="A71" s="4">
        <v>3331168</v>
      </c>
      <c r="B71" s="4" t="s">
        <v>175</v>
      </c>
      <c r="C71" s="4" t="s">
        <v>38</v>
      </c>
      <c r="D71" s="4" t="s">
        <v>171</v>
      </c>
      <c r="E71" s="63">
        <v>1.7</v>
      </c>
      <c r="F71" s="63">
        <v>2.46</v>
      </c>
    </row>
    <row r="72" spans="1:6" x14ac:dyDescent="0.7">
      <c r="A72" s="4">
        <v>7188874</v>
      </c>
      <c r="B72" s="4" t="s">
        <v>176</v>
      </c>
      <c r="C72" s="4" t="s">
        <v>38</v>
      </c>
      <c r="D72" s="4" t="s">
        <v>177</v>
      </c>
      <c r="E72" s="63">
        <v>1.58</v>
      </c>
      <c r="F72" s="63">
        <v>3.55</v>
      </c>
    </row>
    <row r="73" spans="1:6" x14ac:dyDescent="0.7">
      <c r="A73" s="4">
        <v>5806665</v>
      </c>
      <c r="B73" s="4" t="s">
        <v>178</v>
      </c>
      <c r="C73" s="4" t="s">
        <v>38</v>
      </c>
      <c r="D73" s="4" t="s">
        <v>177</v>
      </c>
      <c r="E73" s="63">
        <v>1.68</v>
      </c>
      <c r="F73" s="63">
        <v>3.69</v>
      </c>
    </row>
    <row r="74" spans="1:6" x14ac:dyDescent="0.7">
      <c r="A74" s="4">
        <v>4696794</v>
      </c>
      <c r="B74" s="4" t="s">
        <v>179</v>
      </c>
      <c r="C74" s="4" t="s">
        <v>38</v>
      </c>
      <c r="D74" s="4" t="s">
        <v>177</v>
      </c>
      <c r="E74" s="63">
        <v>1.68</v>
      </c>
      <c r="F74" s="63">
        <v>2.85</v>
      </c>
    </row>
    <row r="75" spans="1:6" x14ac:dyDescent="0.7">
      <c r="A75" s="4">
        <v>2184952</v>
      </c>
      <c r="B75" s="4" t="s">
        <v>180</v>
      </c>
      <c r="C75" s="4" t="s">
        <v>38</v>
      </c>
      <c r="D75" s="4" t="s">
        <v>177</v>
      </c>
      <c r="E75" s="63">
        <v>1.34</v>
      </c>
      <c r="F75" s="63">
        <v>2.89</v>
      </c>
    </row>
    <row r="76" spans="1:6" x14ac:dyDescent="0.7">
      <c r="A76" s="4">
        <v>7066181</v>
      </c>
      <c r="B76" s="4" t="s">
        <v>181</v>
      </c>
      <c r="C76" s="4" t="s">
        <v>38</v>
      </c>
      <c r="D76" s="4" t="s">
        <v>182</v>
      </c>
      <c r="E76" s="63">
        <v>1.22</v>
      </c>
      <c r="F76" s="63">
        <v>3.56</v>
      </c>
    </row>
    <row r="77" spans="1:6" x14ac:dyDescent="0.7">
      <c r="A77" s="4">
        <v>2838531</v>
      </c>
      <c r="B77" s="4" t="s">
        <v>355</v>
      </c>
      <c r="C77" s="4" t="s">
        <v>38</v>
      </c>
      <c r="D77" s="4" t="s">
        <v>182</v>
      </c>
      <c r="E77" s="63">
        <v>1.61</v>
      </c>
      <c r="F77" s="63">
        <v>3.8</v>
      </c>
    </row>
    <row r="78" spans="1:6" x14ac:dyDescent="0.7">
      <c r="A78" s="4">
        <v>9389088</v>
      </c>
      <c r="B78" s="4" t="s">
        <v>183</v>
      </c>
      <c r="C78" s="4" t="s">
        <v>38</v>
      </c>
      <c r="D78" s="4" t="s">
        <v>182</v>
      </c>
      <c r="E78" s="63">
        <v>1.66</v>
      </c>
      <c r="F78" s="63">
        <v>3.14</v>
      </c>
    </row>
    <row r="79" spans="1:6" x14ac:dyDescent="0.7">
      <c r="A79" s="4">
        <v>4649449</v>
      </c>
      <c r="B79" s="4" t="s">
        <v>184</v>
      </c>
      <c r="C79" s="4" t="s">
        <v>38</v>
      </c>
      <c r="D79" s="4" t="s">
        <v>182</v>
      </c>
      <c r="E79" s="63">
        <v>1.46</v>
      </c>
      <c r="F79" s="63">
        <v>3.88</v>
      </c>
    </row>
    <row r="80" spans="1:6" x14ac:dyDescent="0.7">
      <c r="A80" s="4">
        <v>3916625</v>
      </c>
      <c r="B80" s="4" t="s">
        <v>185</v>
      </c>
      <c r="C80" s="4" t="s">
        <v>38</v>
      </c>
      <c r="D80" s="4" t="s">
        <v>182</v>
      </c>
      <c r="E80" s="63">
        <v>1.9</v>
      </c>
      <c r="F80" s="63">
        <v>3.07</v>
      </c>
    </row>
    <row r="81" spans="1:6" x14ac:dyDescent="0.7">
      <c r="A81" s="4">
        <v>1218035</v>
      </c>
      <c r="B81" s="4" t="s">
        <v>356</v>
      </c>
      <c r="C81" s="4" t="s">
        <v>38</v>
      </c>
      <c r="D81" s="4" t="s">
        <v>186</v>
      </c>
      <c r="E81" s="63">
        <v>1.96</v>
      </c>
      <c r="F81" s="63">
        <v>2.5</v>
      </c>
    </row>
    <row r="82" spans="1:6" x14ac:dyDescent="0.7">
      <c r="A82" s="4">
        <v>5781722</v>
      </c>
      <c r="B82" s="4" t="s">
        <v>187</v>
      </c>
      <c r="C82" s="4" t="s">
        <v>38</v>
      </c>
      <c r="D82" s="4" t="s">
        <v>186</v>
      </c>
      <c r="E82" s="63">
        <v>1.34</v>
      </c>
      <c r="F82" s="63">
        <v>2.84</v>
      </c>
    </row>
    <row r="83" spans="1:6" x14ac:dyDescent="0.7">
      <c r="A83" s="4">
        <v>9047209</v>
      </c>
      <c r="B83" s="4" t="s">
        <v>156</v>
      </c>
      <c r="C83" s="4" t="s">
        <v>38</v>
      </c>
      <c r="D83" s="4" t="s">
        <v>186</v>
      </c>
      <c r="E83" s="63">
        <v>1.31</v>
      </c>
      <c r="F83" s="63">
        <v>2.33</v>
      </c>
    </row>
    <row r="84" spans="1:6" x14ac:dyDescent="0.7">
      <c r="A84" s="4">
        <v>7665494</v>
      </c>
      <c r="B84" s="4" t="s">
        <v>188</v>
      </c>
      <c r="C84" s="4" t="s">
        <v>38</v>
      </c>
      <c r="D84" s="4" t="s">
        <v>186</v>
      </c>
      <c r="E84" s="63">
        <v>1.19</v>
      </c>
      <c r="F84" s="63">
        <v>2.44</v>
      </c>
    </row>
    <row r="85" spans="1:6" x14ac:dyDescent="0.7">
      <c r="A85" s="4">
        <v>1483013</v>
      </c>
      <c r="B85" s="4" t="s">
        <v>189</v>
      </c>
      <c r="C85" s="4" t="s">
        <v>38</v>
      </c>
      <c r="D85" s="4" t="s">
        <v>186</v>
      </c>
      <c r="E85" s="63">
        <v>1.48</v>
      </c>
      <c r="F85" s="63">
        <v>3.32</v>
      </c>
    </row>
    <row r="86" spans="1:6" x14ac:dyDescent="0.7">
      <c r="A86" s="4">
        <v>4784877</v>
      </c>
      <c r="B86" s="4" t="s">
        <v>75</v>
      </c>
      <c r="C86" s="4" t="s">
        <v>38</v>
      </c>
      <c r="D86" s="4" t="s">
        <v>190</v>
      </c>
      <c r="E86" s="63">
        <v>1.92</v>
      </c>
      <c r="F86" s="63">
        <v>2.06</v>
      </c>
    </row>
    <row r="87" spans="1:6" x14ac:dyDescent="0.7">
      <c r="A87" s="4">
        <v>6835905</v>
      </c>
      <c r="B87" s="4" t="s">
        <v>81</v>
      </c>
      <c r="C87" s="4" t="s">
        <v>38</v>
      </c>
      <c r="D87" s="4" t="s">
        <v>190</v>
      </c>
      <c r="E87" s="63">
        <v>1.46</v>
      </c>
      <c r="F87" s="63">
        <v>2.66</v>
      </c>
    </row>
    <row r="88" spans="1:6" x14ac:dyDescent="0.7">
      <c r="A88" s="4">
        <v>2352503</v>
      </c>
      <c r="B88" s="4" t="s">
        <v>86</v>
      </c>
      <c r="C88" s="4" t="s">
        <v>38</v>
      </c>
      <c r="D88" s="4" t="s">
        <v>190</v>
      </c>
      <c r="E88" s="63">
        <v>1.56</v>
      </c>
      <c r="F88" s="63">
        <v>2.67</v>
      </c>
    </row>
    <row r="89" spans="1:6" x14ac:dyDescent="0.7">
      <c r="A89" s="4">
        <v>5679238</v>
      </c>
      <c r="B89" s="4" t="s">
        <v>97</v>
      </c>
      <c r="C89" s="4" t="s">
        <v>38</v>
      </c>
      <c r="D89" s="4" t="s">
        <v>190</v>
      </c>
      <c r="E89" s="63">
        <v>1.81</v>
      </c>
      <c r="F89" s="63">
        <v>3.55</v>
      </c>
    </row>
    <row r="90" spans="1:6" x14ac:dyDescent="0.7">
      <c r="A90" s="4">
        <v>4610541</v>
      </c>
      <c r="B90" s="4" t="s">
        <v>83</v>
      </c>
      <c r="C90" s="4" t="s">
        <v>38</v>
      </c>
      <c r="D90" s="4" t="s">
        <v>190</v>
      </c>
      <c r="E90" s="63">
        <v>1.96</v>
      </c>
      <c r="F90" s="63">
        <v>3.12</v>
      </c>
    </row>
    <row r="91" spans="1:6" x14ac:dyDescent="0.7">
      <c r="A91" s="4">
        <v>2004777</v>
      </c>
      <c r="B91" s="4" t="s">
        <v>191</v>
      </c>
      <c r="C91" s="4" t="s">
        <v>38</v>
      </c>
      <c r="D91" s="4" t="s">
        <v>192</v>
      </c>
      <c r="E91" s="63">
        <v>1.78</v>
      </c>
      <c r="F91" s="63">
        <v>2.5499999999999998</v>
      </c>
    </row>
    <row r="92" spans="1:6" x14ac:dyDescent="0.7">
      <c r="A92" s="4">
        <v>3059904</v>
      </c>
      <c r="B92" s="4" t="s">
        <v>193</v>
      </c>
      <c r="C92" s="4" t="s">
        <v>38</v>
      </c>
      <c r="D92" s="4" t="s">
        <v>192</v>
      </c>
      <c r="E92" s="63">
        <v>1.55</v>
      </c>
      <c r="F92" s="63">
        <v>3.92</v>
      </c>
    </row>
    <row r="93" spans="1:6" x14ac:dyDescent="0.7">
      <c r="A93" s="4">
        <v>1804577</v>
      </c>
      <c r="B93" s="4" t="s">
        <v>194</v>
      </c>
      <c r="C93" s="4" t="s">
        <v>38</v>
      </c>
      <c r="D93" s="4" t="s">
        <v>192</v>
      </c>
      <c r="E93" s="63">
        <v>1.98</v>
      </c>
      <c r="F93" s="63">
        <v>2.64</v>
      </c>
    </row>
    <row r="94" spans="1:6" x14ac:dyDescent="0.7">
      <c r="A94" s="4">
        <v>3870535</v>
      </c>
      <c r="B94" s="4" t="s">
        <v>195</v>
      </c>
      <c r="C94" s="4" t="s">
        <v>38</v>
      </c>
      <c r="D94" s="4" t="s">
        <v>192</v>
      </c>
      <c r="E94" s="63">
        <v>1.1599999999999999</v>
      </c>
      <c r="F94" s="63">
        <v>3.07</v>
      </c>
    </row>
    <row r="95" spans="1:6" x14ac:dyDescent="0.7">
      <c r="A95" s="4">
        <v>4510560</v>
      </c>
      <c r="B95" s="4" t="s">
        <v>196</v>
      </c>
      <c r="C95" s="4" t="s">
        <v>38</v>
      </c>
      <c r="D95" s="4" t="s">
        <v>192</v>
      </c>
      <c r="E95" s="63">
        <v>1.42</v>
      </c>
      <c r="F95" s="63">
        <v>2.62</v>
      </c>
    </row>
    <row r="96" spans="1:6" x14ac:dyDescent="0.7">
      <c r="A96" s="4">
        <v>9777184</v>
      </c>
      <c r="B96" s="4" t="s">
        <v>197</v>
      </c>
      <c r="C96" s="4" t="s">
        <v>38</v>
      </c>
      <c r="D96" s="4" t="s">
        <v>90</v>
      </c>
      <c r="E96" s="63">
        <v>1.65</v>
      </c>
      <c r="F96" s="63">
        <v>2.0699999999999998</v>
      </c>
    </row>
    <row r="97" spans="1:6" x14ac:dyDescent="0.7">
      <c r="A97" s="4">
        <v>2793639</v>
      </c>
      <c r="B97" s="4" t="s">
        <v>198</v>
      </c>
      <c r="C97" s="4" t="s">
        <v>38</v>
      </c>
      <c r="D97" s="4" t="s">
        <v>90</v>
      </c>
      <c r="E97" s="63">
        <v>1.1499999999999999</v>
      </c>
      <c r="F97" s="63">
        <v>2.23</v>
      </c>
    </row>
    <row r="98" spans="1:6" x14ac:dyDescent="0.7">
      <c r="A98" s="4">
        <v>3054080</v>
      </c>
      <c r="B98" s="4" t="s">
        <v>199</v>
      </c>
      <c r="C98" s="4" t="s">
        <v>38</v>
      </c>
      <c r="D98" s="4" t="s">
        <v>90</v>
      </c>
      <c r="E98" s="63">
        <v>1.63</v>
      </c>
      <c r="F98" s="63">
        <v>3.8</v>
      </c>
    </row>
    <row r="99" spans="1:6" x14ac:dyDescent="0.7">
      <c r="A99" s="4">
        <v>9630396</v>
      </c>
      <c r="B99" s="4" t="s">
        <v>200</v>
      </c>
      <c r="C99" s="4" t="s">
        <v>38</v>
      </c>
      <c r="D99" s="4" t="s">
        <v>90</v>
      </c>
      <c r="E99" s="63">
        <v>1.21</v>
      </c>
      <c r="F99" s="63">
        <v>3.75</v>
      </c>
    </row>
    <row r="100" spans="1:6" x14ac:dyDescent="0.7">
      <c r="A100" s="4">
        <v>8958807</v>
      </c>
      <c r="B100" s="4" t="s">
        <v>201</v>
      </c>
      <c r="C100" s="4" t="s">
        <v>38</v>
      </c>
      <c r="D100" s="4" t="s">
        <v>90</v>
      </c>
      <c r="E100" s="63">
        <v>1.1299999999999999</v>
      </c>
      <c r="F100" s="63">
        <v>3.85</v>
      </c>
    </row>
    <row r="101" spans="1:6" x14ac:dyDescent="0.7">
      <c r="A101" s="4">
        <v>6392837</v>
      </c>
      <c r="B101" s="4" t="s">
        <v>202</v>
      </c>
      <c r="C101" s="4" t="s">
        <v>38</v>
      </c>
      <c r="D101" s="4" t="s">
        <v>94</v>
      </c>
      <c r="E101" s="63">
        <v>1.69</v>
      </c>
      <c r="F101" s="63">
        <v>2.4</v>
      </c>
    </row>
    <row r="102" spans="1:6" x14ac:dyDescent="0.7">
      <c r="A102" s="4">
        <v>5239950</v>
      </c>
      <c r="B102" s="4" t="s">
        <v>357</v>
      </c>
      <c r="C102" s="4" t="s">
        <v>38</v>
      </c>
      <c r="D102" s="4" t="s">
        <v>94</v>
      </c>
      <c r="E102" s="63">
        <v>1.49</v>
      </c>
      <c r="F102" s="63">
        <v>2.19</v>
      </c>
    </row>
    <row r="103" spans="1:6" x14ac:dyDescent="0.7">
      <c r="A103" s="4">
        <v>8128227</v>
      </c>
      <c r="B103" s="4" t="s">
        <v>203</v>
      </c>
      <c r="C103" s="4" t="s">
        <v>38</v>
      </c>
      <c r="D103" s="4" t="s">
        <v>94</v>
      </c>
      <c r="E103" s="63">
        <v>1.31</v>
      </c>
      <c r="F103" s="63">
        <v>3.58</v>
      </c>
    </row>
    <row r="104" spans="1:6" x14ac:dyDescent="0.7">
      <c r="A104" s="4">
        <v>3140062</v>
      </c>
      <c r="B104" s="4" t="s">
        <v>204</v>
      </c>
      <c r="C104" s="4" t="s">
        <v>38</v>
      </c>
      <c r="D104" s="4" t="s">
        <v>94</v>
      </c>
      <c r="E104" s="63">
        <v>1.1000000000000001</v>
      </c>
      <c r="F104" s="63">
        <v>2.34</v>
      </c>
    </row>
    <row r="105" spans="1:6" x14ac:dyDescent="0.7">
      <c r="A105" s="4">
        <v>2913653</v>
      </c>
      <c r="B105" s="4" t="s">
        <v>205</v>
      </c>
      <c r="C105" s="4" t="s">
        <v>38</v>
      </c>
      <c r="D105" s="4" t="s">
        <v>94</v>
      </c>
      <c r="E105" s="63">
        <v>1.55</v>
      </c>
      <c r="F105" s="63">
        <v>3.83</v>
      </c>
    </row>
    <row r="106" spans="1:6" x14ac:dyDescent="0.7">
      <c r="A106" s="4">
        <v>8523379</v>
      </c>
      <c r="B106" s="4" t="s">
        <v>206</v>
      </c>
      <c r="C106" s="4" t="s">
        <v>38</v>
      </c>
      <c r="D106" s="4" t="s">
        <v>207</v>
      </c>
      <c r="E106" s="63">
        <v>1.65</v>
      </c>
      <c r="F106" s="63">
        <v>3.92</v>
      </c>
    </row>
    <row r="107" spans="1:6" x14ac:dyDescent="0.7">
      <c r="A107" s="4">
        <v>2640313</v>
      </c>
      <c r="B107" s="4" t="s">
        <v>208</v>
      </c>
      <c r="C107" s="4" t="s">
        <v>38</v>
      </c>
      <c r="D107" s="4" t="s">
        <v>207</v>
      </c>
      <c r="E107" s="63">
        <v>1.66</v>
      </c>
      <c r="F107" s="63">
        <v>3.3</v>
      </c>
    </row>
    <row r="108" spans="1:6" x14ac:dyDescent="0.7">
      <c r="A108" s="4">
        <v>6262220</v>
      </c>
      <c r="B108" s="4" t="s">
        <v>209</v>
      </c>
      <c r="C108" s="4" t="s">
        <v>38</v>
      </c>
      <c r="D108" s="4" t="s">
        <v>207</v>
      </c>
      <c r="E108" s="63">
        <v>1.94</v>
      </c>
      <c r="F108" s="63">
        <v>3.87</v>
      </c>
    </row>
    <row r="109" spans="1:6" x14ac:dyDescent="0.7">
      <c r="A109" s="4">
        <v>1937356</v>
      </c>
      <c r="B109" s="4" t="s">
        <v>210</v>
      </c>
      <c r="C109" s="4" t="s">
        <v>38</v>
      </c>
      <c r="D109" s="4" t="s">
        <v>207</v>
      </c>
      <c r="E109" s="63">
        <v>1.22</v>
      </c>
      <c r="F109" s="63">
        <v>3.16</v>
      </c>
    </row>
    <row r="110" spans="1:6" x14ac:dyDescent="0.7">
      <c r="A110" s="4">
        <v>2300284</v>
      </c>
      <c r="B110" s="4" t="s">
        <v>211</v>
      </c>
      <c r="C110" s="4" t="s">
        <v>38</v>
      </c>
      <c r="D110" s="4" t="s">
        <v>212</v>
      </c>
      <c r="E110" s="63">
        <v>1.32</v>
      </c>
      <c r="F110" s="63">
        <v>3.58</v>
      </c>
    </row>
    <row r="111" spans="1:6" x14ac:dyDescent="0.7">
      <c r="A111" s="4">
        <v>9773189</v>
      </c>
      <c r="B111" s="4" t="s">
        <v>213</v>
      </c>
      <c r="C111" s="4" t="s">
        <v>38</v>
      </c>
      <c r="D111" s="4" t="s">
        <v>212</v>
      </c>
      <c r="E111" s="63">
        <v>1.56</v>
      </c>
      <c r="F111" s="63">
        <v>2.4900000000000002</v>
      </c>
    </row>
    <row r="112" spans="1:6" x14ac:dyDescent="0.7">
      <c r="A112" s="4">
        <v>9297779</v>
      </c>
      <c r="B112" s="4" t="s">
        <v>214</v>
      </c>
      <c r="C112" s="4" t="s">
        <v>38</v>
      </c>
      <c r="D112" s="4" t="s">
        <v>212</v>
      </c>
      <c r="E112" s="63">
        <v>1.39</v>
      </c>
      <c r="F112" s="63">
        <v>2.71</v>
      </c>
    </row>
    <row r="113" spans="1:6" x14ac:dyDescent="0.7">
      <c r="A113" s="4">
        <v>3412239</v>
      </c>
      <c r="B113" s="4" t="s">
        <v>215</v>
      </c>
      <c r="C113" s="4" t="s">
        <v>38</v>
      </c>
      <c r="D113" s="4" t="s">
        <v>212</v>
      </c>
      <c r="E113" s="63">
        <v>1.04</v>
      </c>
      <c r="F113" s="63">
        <v>2.0699999999999998</v>
      </c>
    </row>
    <row r="114" spans="1:6" x14ac:dyDescent="0.7">
      <c r="A114" s="4">
        <v>6027227</v>
      </c>
      <c r="B114" s="4" t="s">
        <v>358</v>
      </c>
      <c r="C114" s="4" t="s">
        <v>38</v>
      </c>
      <c r="D114" s="4" t="s">
        <v>212</v>
      </c>
      <c r="E114" s="63">
        <v>1.46</v>
      </c>
      <c r="F114" s="63">
        <v>3.67</v>
      </c>
    </row>
    <row r="115" spans="1:6" x14ac:dyDescent="0.7">
      <c r="A115" s="4">
        <v>8702433</v>
      </c>
      <c r="B115" s="4" t="s">
        <v>48</v>
      </c>
      <c r="C115" s="4" t="s">
        <v>39</v>
      </c>
      <c r="D115" s="4" t="s">
        <v>216</v>
      </c>
      <c r="E115" s="63">
        <v>1.85</v>
      </c>
      <c r="F115" s="63">
        <v>3.56</v>
      </c>
    </row>
    <row r="116" spans="1:6" x14ac:dyDescent="0.7">
      <c r="A116" s="4">
        <v>1978722</v>
      </c>
      <c r="B116" s="4" t="s">
        <v>217</v>
      </c>
      <c r="C116" s="4" t="s">
        <v>39</v>
      </c>
      <c r="D116" s="4" t="s">
        <v>216</v>
      </c>
      <c r="E116" s="63">
        <v>1.33</v>
      </c>
      <c r="F116" s="63">
        <v>3.28</v>
      </c>
    </row>
    <row r="117" spans="1:6" x14ac:dyDescent="0.7">
      <c r="A117" s="4">
        <v>7028689</v>
      </c>
      <c r="B117" s="4" t="s">
        <v>218</v>
      </c>
      <c r="C117" s="4" t="s">
        <v>39</v>
      </c>
      <c r="D117" s="4" t="s">
        <v>216</v>
      </c>
      <c r="E117" s="63">
        <v>1.42</v>
      </c>
      <c r="F117" s="63">
        <v>3.82</v>
      </c>
    </row>
    <row r="118" spans="1:6" x14ac:dyDescent="0.7">
      <c r="A118" s="4">
        <v>1204308</v>
      </c>
      <c r="B118" s="4" t="s">
        <v>359</v>
      </c>
      <c r="C118" s="4" t="s">
        <v>39</v>
      </c>
      <c r="D118" s="4" t="s">
        <v>216</v>
      </c>
      <c r="E118" s="63">
        <v>1.73</v>
      </c>
      <c r="F118" s="63">
        <v>3.21</v>
      </c>
    </row>
    <row r="119" spans="1:6" x14ac:dyDescent="0.7">
      <c r="A119" s="4">
        <v>8505107</v>
      </c>
      <c r="B119" s="4" t="s">
        <v>219</v>
      </c>
      <c r="C119" s="4" t="s">
        <v>39</v>
      </c>
      <c r="D119" s="4" t="s">
        <v>216</v>
      </c>
      <c r="E119" s="63">
        <v>1.83</v>
      </c>
      <c r="F119" s="63">
        <v>2.02</v>
      </c>
    </row>
    <row r="120" spans="1:6" x14ac:dyDescent="0.7">
      <c r="A120" s="4">
        <v>7325017</v>
      </c>
      <c r="B120" s="4" t="s">
        <v>220</v>
      </c>
      <c r="C120" s="4" t="s">
        <v>39</v>
      </c>
      <c r="D120" s="4" t="s">
        <v>56</v>
      </c>
      <c r="E120" s="63">
        <v>1.4</v>
      </c>
      <c r="F120" s="63">
        <v>2.2000000000000002</v>
      </c>
    </row>
    <row r="121" spans="1:6" x14ac:dyDescent="0.7">
      <c r="A121" s="4">
        <v>2201481</v>
      </c>
      <c r="B121" s="4" t="s">
        <v>51</v>
      </c>
      <c r="C121" s="4" t="s">
        <v>39</v>
      </c>
      <c r="D121" s="4" t="s">
        <v>56</v>
      </c>
      <c r="E121" s="63">
        <v>1.42</v>
      </c>
      <c r="F121" s="63">
        <v>2.06</v>
      </c>
    </row>
    <row r="122" spans="1:6" x14ac:dyDescent="0.7">
      <c r="A122" s="4">
        <v>7506748</v>
      </c>
      <c r="B122" s="4" t="s">
        <v>221</v>
      </c>
      <c r="C122" s="4" t="s">
        <v>39</v>
      </c>
      <c r="D122" s="4" t="s">
        <v>56</v>
      </c>
      <c r="E122" s="63">
        <v>1.28</v>
      </c>
      <c r="F122" s="63">
        <v>3.56</v>
      </c>
    </row>
    <row r="123" spans="1:6" x14ac:dyDescent="0.7">
      <c r="A123" s="4">
        <v>2728284</v>
      </c>
      <c r="B123" s="4" t="s">
        <v>222</v>
      </c>
      <c r="C123" s="4" t="s">
        <v>39</v>
      </c>
      <c r="D123" s="4" t="s">
        <v>56</v>
      </c>
      <c r="E123" s="63">
        <v>1.33</v>
      </c>
      <c r="F123" s="63">
        <v>3.34</v>
      </c>
    </row>
    <row r="124" spans="1:6" x14ac:dyDescent="0.7">
      <c r="A124" s="4">
        <v>3257601</v>
      </c>
      <c r="B124" s="4" t="s">
        <v>223</v>
      </c>
      <c r="C124" s="4" t="s">
        <v>39</v>
      </c>
      <c r="D124" s="4" t="s">
        <v>56</v>
      </c>
      <c r="E124" s="63">
        <v>1.37</v>
      </c>
      <c r="F124" s="63">
        <v>2.81</v>
      </c>
    </row>
    <row r="125" spans="1:6" x14ac:dyDescent="0.7">
      <c r="A125" s="4">
        <v>8187145</v>
      </c>
      <c r="B125" s="4" t="s">
        <v>224</v>
      </c>
      <c r="C125" s="4" t="s">
        <v>39</v>
      </c>
      <c r="D125" s="4" t="s">
        <v>54</v>
      </c>
      <c r="E125" s="63">
        <v>1.05</v>
      </c>
      <c r="F125" s="63">
        <v>3.9</v>
      </c>
    </row>
    <row r="126" spans="1:6" x14ac:dyDescent="0.7">
      <c r="A126" s="4">
        <v>9886707</v>
      </c>
      <c r="B126" s="4" t="s">
        <v>225</v>
      </c>
      <c r="C126" s="4" t="s">
        <v>39</v>
      </c>
      <c r="D126" s="4" t="s">
        <v>54</v>
      </c>
      <c r="E126" s="63">
        <v>1.91</v>
      </c>
      <c r="F126" s="63">
        <v>2.68</v>
      </c>
    </row>
    <row r="127" spans="1:6" x14ac:dyDescent="0.7">
      <c r="A127" s="4">
        <v>4845297</v>
      </c>
      <c r="B127" s="4" t="s">
        <v>226</v>
      </c>
      <c r="C127" s="4" t="s">
        <v>39</v>
      </c>
      <c r="D127" s="4" t="s">
        <v>54</v>
      </c>
      <c r="E127" s="63">
        <v>1.5</v>
      </c>
      <c r="F127" s="63">
        <v>3.98</v>
      </c>
    </row>
    <row r="128" spans="1:6" x14ac:dyDescent="0.7">
      <c r="A128" s="4">
        <v>5592755</v>
      </c>
      <c r="B128" s="4" t="s">
        <v>227</v>
      </c>
      <c r="C128" s="4" t="s">
        <v>39</v>
      </c>
      <c r="D128" s="4" t="s">
        <v>54</v>
      </c>
      <c r="E128" s="63">
        <v>1.01</v>
      </c>
      <c r="F128" s="63">
        <v>2.0099999999999998</v>
      </c>
    </row>
    <row r="129" spans="1:6" x14ac:dyDescent="0.7">
      <c r="A129" s="4">
        <v>9673121</v>
      </c>
      <c r="B129" s="4" t="s">
        <v>228</v>
      </c>
      <c r="C129" s="4" t="s">
        <v>39</v>
      </c>
      <c r="D129" s="4" t="s">
        <v>114</v>
      </c>
      <c r="E129" s="63">
        <v>1.72</v>
      </c>
      <c r="F129" s="63">
        <v>2.39</v>
      </c>
    </row>
    <row r="130" spans="1:6" x14ac:dyDescent="0.7">
      <c r="A130" s="4">
        <v>9636348</v>
      </c>
      <c r="B130" s="4" t="s">
        <v>229</v>
      </c>
      <c r="C130" s="4" t="s">
        <v>39</v>
      </c>
      <c r="D130" s="4" t="s">
        <v>114</v>
      </c>
      <c r="E130" s="63">
        <v>1.22</v>
      </c>
      <c r="F130" s="63">
        <v>2.52</v>
      </c>
    </row>
    <row r="131" spans="1:6" x14ac:dyDescent="0.7">
      <c r="A131" s="4">
        <v>2781973</v>
      </c>
      <c r="B131" s="4" t="s">
        <v>360</v>
      </c>
      <c r="C131" s="4" t="s">
        <v>39</v>
      </c>
      <c r="D131" s="4" t="s">
        <v>114</v>
      </c>
      <c r="E131" s="63">
        <v>1.0900000000000001</v>
      </c>
      <c r="F131" s="63">
        <v>2.04</v>
      </c>
    </row>
    <row r="132" spans="1:6" x14ac:dyDescent="0.7">
      <c r="A132" s="4">
        <v>5692441</v>
      </c>
      <c r="B132" s="4" t="s">
        <v>361</v>
      </c>
      <c r="C132" s="4" t="s">
        <v>39</v>
      </c>
      <c r="D132" s="4" t="s">
        <v>114</v>
      </c>
      <c r="E132" s="63">
        <v>1.61</v>
      </c>
      <c r="F132" s="63">
        <v>3.26</v>
      </c>
    </row>
    <row r="133" spans="1:6" x14ac:dyDescent="0.7">
      <c r="A133" s="4">
        <v>3114048</v>
      </c>
      <c r="B133" s="4" t="s">
        <v>230</v>
      </c>
      <c r="C133" s="4" t="s">
        <v>39</v>
      </c>
      <c r="D133" s="4" t="s">
        <v>78</v>
      </c>
      <c r="E133" s="63">
        <v>1.93</v>
      </c>
      <c r="F133" s="63">
        <v>3.78</v>
      </c>
    </row>
    <row r="134" spans="1:6" x14ac:dyDescent="0.7">
      <c r="A134" s="4">
        <v>2380979</v>
      </c>
      <c r="B134" s="4" t="s">
        <v>231</v>
      </c>
      <c r="C134" s="4" t="s">
        <v>39</v>
      </c>
      <c r="D134" s="4" t="s">
        <v>78</v>
      </c>
      <c r="E134" s="63">
        <v>1.55</v>
      </c>
      <c r="F134" s="63">
        <v>2.57</v>
      </c>
    </row>
    <row r="135" spans="1:6" x14ac:dyDescent="0.7">
      <c r="A135" s="4">
        <v>2554353</v>
      </c>
      <c r="B135" s="4" t="s">
        <v>232</v>
      </c>
      <c r="C135" s="4" t="s">
        <v>39</v>
      </c>
      <c r="D135" s="4" t="s">
        <v>78</v>
      </c>
      <c r="E135" s="63">
        <v>1.48</v>
      </c>
      <c r="F135" s="63">
        <v>3.57</v>
      </c>
    </row>
    <row r="136" spans="1:6" x14ac:dyDescent="0.7">
      <c r="A136" s="4">
        <v>7297597</v>
      </c>
      <c r="B136" s="4" t="s">
        <v>362</v>
      </c>
      <c r="C136" s="4" t="s">
        <v>39</v>
      </c>
      <c r="D136" s="4" t="s">
        <v>78</v>
      </c>
      <c r="E136" s="63">
        <v>1.62</v>
      </c>
      <c r="F136" s="63">
        <v>3.86</v>
      </c>
    </row>
    <row r="137" spans="1:6" x14ac:dyDescent="0.7">
      <c r="A137" s="4">
        <v>2526287</v>
      </c>
      <c r="B137" s="4" t="s">
        <v>233</v>
      </c>
      <c r="C137" s="4" t="s">
        <v>39</v>
      </c>
      <c r="D137" s="4" t="s">
        <v>234</v>
      </c>
      <c r="E137" s="63">
        <v>1.56</v>
      </c>
      <c r="F137" s="63">
        <v>2.27</v>
      </c>
    </row>
    <row r="138" spans="1:6" x14ac:dyDescent="0.7">
      <c r="A138" s="4">
        <v>6793642</v>
      </c>
      <c r="B138" s="4" t="s">
        <v>235</v>
      </c>
      <c r="C138" s="4" t="s">
        <v>39</v>
      </c>
      <c r="D138" s="4" t="s">
        <v>234</v>
      </c>
      <c r="E138" s="63">
        <v>1.01</v>
      </c>
      <c r="F138" s="63">
        <v>3.98</v>
      </c>
    </row>
    <row r="139" spans="1:6" x14ac:dyDescent="0.7">
      <c r="A139" s="4">
        <v>2800148</v>
      </c>
      <c r="B139" s="4" t="s">
        <v>84</v>
      </c>
      <c r="C139" s="4" t="s">
        <v>39</v>
      </c>
      <c r="D139" s="4" t="s">
        <v>234</v>
      </c>
      <c r="E139" s="63">
        <v>1.1599999999999999</v>
      </c>
      <c r="F139" s="63">
        <v>3.58</v>
      </c>
    </row>
    <row r="140" spans="1:6" x14ac:dyDescent="0.7">
      <c r="A140" s="4">
        <v>7194088</v>
      </c>
      <c r="B140" s="4" t="s">
        <v>236</v>
      </c>
      <c r="C140" s="4" t="s">
        <v>39</v>
      </c>
      <c r="D140" s="4" t="s">
        <v>234</v>
      </c>
      <c r="E140" s="63">
        <v>1.49</v>
      </c>
      <c r="F140" s="63">
        <v>2.65</v>
      </c>
    </row>
    <row r="141" spans="1:6" x14ac:dyDescent="0.7">
      <c r="A141" s="4">
        <v>6582128</v>
      </c>
      <c r="B141" s="4" t="s">
        <v>115</v>
      </c>
      <c r="C141" s="4" t="s">
        <v>39</v>
      </c>
      <c r="D141" s="4" t="s">
        <v>234</v>
      </c>
      <c r="E141" s="63">
        <v>1.41</v>
      </c>
      <c r="F141" s="63">
        <v>2.4900000000000002</v>
      </c>
    </row>
    <row r="142" spans="1:6" x14ac:dyDescent="0.7">
      <c r="A142" s="4">
        <v>3632025</v>
      </c>
      <c r="B142" s="4" t="s">
        <v>237</v>
      </c>
      <c r="C142" s="4" t="s">
        <v>39</v>
      </c>
      <c r="D142" s="4" t="s">
        <v>238</v>
      </c>
      <c r="E142" s="63">
        <v>1.44</v>
      </c>
      <c r="F142" s="63">
        <v>3.76</v>
      </c>
    </row>
    <row r="143" spans="1:6" x14ac:dyDescent="0.7">
      <c r="A143" s="4">
        <v>5505975</v>
      </c>
      <c r="B143" s="4" t="s">
        <v>239</v>
      </c>
      <c r="C143" s="4" t="s">
        <v>39</v>
      </c>
      <c r="D143" s="4" t="s">
        <v>238</v>
      </c>
      <c r="E143" s="63">
        <v>1.28</v>
      </c>
      <c r="F143" s="63">
        <v>3.14</v>
      </c>
    </row>
    <row r="144" spans="1:6" x14ac:dyDescent="0.7">
      <c r="A144" s="4">
        <v>7533446</v>
      </c>
      <c r="B144" s="4" t="s">
        <v>92</v>
      </c>
      <c r="C144" s="4" t="s">
        <v>39</v>
      </c>
      <c r="D144" s="4" t="s">
        <v>238</v>
      </c>
      <c r="E144" s="63">
        <v>1.4</v>
      </c>
      <c r="F144" s="63">
        <v>3.61</v>
      </c>
    </row>
    <row r="145" spans="1:6" x14ac:dyDescent="0.7">
      <c r="A145" s="4">
        <v>5496328</v>
      </c>
      <c r="B145" s="4" t="s">
        <v>240</v>
      </c>
      <c r="C145" s="4" t="s">
        <v>39</v>
      </c>
      <c r="D145" s="4" t="s">
        <v>238</v>
      </c>
      <c r="E145" s="63">
        <v>1.96</v>
      </c>
      <c r="F145" s="63">
        <v>3.04</v>
      </c>
    </row>
    <row r="146" spans="1:6" x14ac:dyDescent="0.7">
      <c r="A146" s="4">
        <v>5644779</v>
      </c>
      <c r="B146" s="4" t="s">
        <v>241</v>
      </c>
      <c r="C146" s="4" t="s">
        <v>39</v>
      </c>
      <c r="D146" s="4" t="s">
        <v>238</v>
      </c>
      <c r="E146" s="63">
        <v>1.66</v>
      </c>
      <c r="F146" s="63">
        <v>2.75</v>
      </c>
    </row>
    <row r="147" spans="1:6" x14ac:dyDescent="0.7">
      <c r="A147" s="4">
        <v>8670480</v>
      </c>
      <c r="B147" s="4" t="s">
        <v>242</v>
      </c>
      <c r="C147" s="4" t="s">
        <v>39</v>
      </c>
      <c r="D147" s="4" t="s">
        <v>55</v>
      </c>
      <c r="E147" s="63">
        <v>1.25</v>
      </c>
      <c r="F147" s="63">
        <v>2.2000000000000002</v>
      </c>
    </row>
    <row r="148" spans="1:6" x14ac:dyDescent="0.7">
      <c r="A148" s="4">
        <v>1900214</v>
      </c>
      <c r="B148" s="4" t="s">
        <v>87</v>
      </c>
      <c r="C148" s="4" t="s">
        <v>39</v>
      </c>
      <c r="D148" s="4" t="s">
        <v>55</v>
      </c>
      <c r="E148" s="63">
        <v>1.83</v>
      </c>
      <c r="F148" s="63">
        <v>3.89</v>
      </c>
    </row>
    <row r="149" spans="1:6" x14ac:dyDescent="0.7">
      <c r="A149" s="4">
        <v>8137381</v>
      </c>
      <c r="B149" s="4" t="s">
        <v>243</v>
      </c>
      <c r="C149" s="4" t="s">
        <v>39</v>
      </c>
      <c r="D149" s="4" t="s">
        <v>55</v>
      </c>
      <c r="E149" s="63">
        <v>1.82</v>
      </c>
      <c r="F149" s="63">
        <v>2.63</v>
      </c>
    </row>
    <row r="150" spans="1:6" x14ac:dyDescent="0.7">
      <c r="A150" s="4">
        <v>3908229</v>
      </c>
      <c r="B150" s="4" t="s">
        <v>244</v>
      </c>
      <c r="C150" s="4" t="s">
        <v>39</v>
      </c>
      <c r="D150" s="4" t="s">
        <v>55</v>
      </c>
      <c r="E150" s="63">
        <v>1.88</v>
      </c>
      <c r="F150" s="63">
        <v>3.59</v>
      </c>
    </row>
    <row r="151" spans="1:6" x14ac:dyDescent="0.7">
      <c r="A151" s="4">
        <v>3218376</v>
      </c>
      <c r="B151" s="61" t="s">
        <v>245</v>
      </c>
      <c r="C151" s="4" t="s">
        <v>39</v>
      </c>
      <c r="D151" s="4" t="s">
        <v>55</v>
      </c>
      <c r="E151" s="63">
        <v>1.5</v>
      </c>
      <c r="F151" s="63">
        <v>2.37</v>
      </c>
    </row>
    <row r="152" spans="1:6" x14ac:dyDescent="0.7">
      <c r="A152" s="4">
        <v>7000887</v>
      </c>
      <c r="B152" s="4" t="s">
        <v>246</v>
      </c>
      <c r="C152" s="4" t="s">
        <v>39</v>
      </c>
      <c r="D152" s="4" t="s">
        <v>247</v>
      </c>
      <c r="E152" s="63">
        <v>1.98</v>
      </c>
      <c r="F152" s="63">
        <v>2.95</v>
      </c>
    </row>
    <row r="153" spans="1:6" x14ac:dyDescent="0.7">
      <c r="A153" s="4">
        <v>3841215</v>
      </c>
      <c r="B153" s="4" t="s">
        <v>248</v>
      </c>
      <c r="C153" s="4" t="s">
        <v>39</v>
      </c>
      <c r="D153" s="4" t="s">
        <v>247</v>
      </c>
      <c r="E153" s="63">
        <v>1.93</v>
      </c>
      <c r="F153" s="63">
        <v>3.52</v>
      </c>
    </row>
    <row r="154" spans="1:6" x14ac:dyDescent="0.7">
      <c r="A154" s="4">
        <v>9583305</v>
      </c>
      <c r="B154" s="4" t="s">
        <v>249</v>
      </c>
      <c r="C154" s="4" t="s">
        <v>39</v>
      </c>
      <c r="D154" s="4" t="s">
        <v>247</v>
      </c>
      <c r="E154" s="63">
        <v>1.22</v>
      </c>
      <c r="F154" s="63">
        <v>2.2999999999999998</v>
      </c>
    </row>
    <row r="155" spans="1:6" x14ac:dyDescent="0.7">
      <c r="A155" s="4">
        <v>5826745</v>
      </c>
      <c r="B155" s="4" t="s">
        <v>250</v>
      </c>
      <c r="C155" s="4" t="s">
        <v>39</v>
      </c>
      <c r="D155" s="4" t="s">
        <v>247</v>
      </c>
      <c r="E155" s="63">
        <v>1.1000000000000001</v>
      </c>
      <c r="F155" s="63">
        <v>2.97</v>
      </c>
    </row>
    <row r="156" spans="1:6" x14ac:dyDescent="0.7">
      <c r="A156" s="4">
        <v>1976636</v>
      </c>
      <c r="B156" s="4" t="s">
        <v>251</v>
      </c>
      <c r="C156" s="4" t="s">
        <v>39</v>
      </c>
      <c r="D156" s="4" t="s">
        <v>252</v>
      </c>
      <c r="E156" s="63">
        <v>1.98</v>
      </c>
      <c r="F156" s="63">
        <v>2.42</v>
      </c>
    </row>
    <row r="157" spans="1:6" x14ac:dyDescent="0.7">
      <c r="A157" s="4">
        <v>4247865</v>
      </c>
      <c r="B157" s="4" t="s">
        <v>253</v>
      </c>
      <c r="C157" s="4" t="s">
        <v>39</v>
      </c>
      <c r="D157" s="4" t="s">
        <v>252</v>
      </c>
      <c r="E157" s="63">
        <v>1.02</v>
      </c>
      <c r="F157" s="63">
        <v>2.0099999999999998</v>
      </c>
    </row>
    <row r="158" spans="1:6" x14ac:dyDescent="0.7">
      <c r="A158" s="4">
        <v>4474728</v>
      </c>
      <c r="B158" s="4" t="s">
        <v>254</v>
      </c>
      <c r="C158" s="4" t="s">
        <v>39</v>
      </c>
      <c r="D158" s="4" t="s">
        <v>252</v>
      </c>
      <c r="E158" s="63">
        <v>1.02</v>
      </c>
      <c r="F158" s="63">
        <v>3.12</v>
      </c>
    </row>
    <row r="159" spans="1:6" x14ac:dyDescent="0.7">
      <c r="A159" s="4">
        <v>3766599</v>
      </c>
      <c r="B159" s="4" t="s">
        <v>255</v>
      </c>
      <c r="C159" s="4" t="s">
        <v>39</v>
      </c>
      <c r="D159" s="4" t="s">
        <v>252</v>
      </c>
      <c r="E159" s="63">
        <v>1.91</v>
      </c>
      <c r="F159" s="63">
        <v>3</v>
      </c>
    </row>
    <row r="160" spans="1:6" x14ac:dyDescent="0.7">
      <c r="A160" s="4">
        <v>8996243</v>
      </c>
      <c r="B160" s="4" t="s">
        <v>256</v>
      </c>
      <c r="C160" s="4" t="s">
        <v>39</v>
      </c>
      <c r="D160" s="4" t="s">
        <v>252</v>
      </c>
      <c r="E160" s="63">
        <v>1.49</v>
      </c>
      <c r="F160" s="63">
        <v>2.95</v>
      </c>
    </row>
    <row r="161" spans="1:6" x14ac:dyDescent="0.7">
      <c r="A161" s="4">
        <v>8387969</v>
      </c>
      <c r="B161" s="4" t="s">
        <v>257</v>
      </c>
      <c r="C161" s="4" t="s">
        <v>39</v>
      </c>
      <c r="D161" s="4" t="s">
        <v>258</v>
      </c>
      <c r="E161" s="63">
        <v>1.65</v>
      </c>
      <c r="F161" s="63">
        <v>2.91</v>
      </c>
    </row>
    <row r="162" spans="1:6" x14ac:dyDescent="0.7">
      <c r="A162" s="4">
        <v>7429458</v>
      </c>
      <c r="B162" s="4" t="s">
        <v>259</v>
      </c>
      <c r="C162" s="4" t="s">
        <v>39</v>
      </c>
      <c r="D162" s="4" t="s">
        <v>258</v>
      </c>
      <c r="E162" s="63">
        <v>1.17</v>
      </c>
      <c r="F162" s="63">
        <v>3.09</v>
      </c>
    </row>
    <row r="163" spans="1:6" x14ac:dyDescent="0.7">
      <c r="A163" s="4">
        <v>6296126</v>
      </c>
      <c r="B163" s="4" t="s">
        <v>260</v>
      </c>
      <c r="C163" s="4" t="s">
        <v>39</v>
      </c>
      <c r="D163" s="4" t="s">
        <v>258</v>
      </c>
      <c r="E163" s="63">
        <v>1.2</v>
      </c>
      <c r="F163" s="63">
        <v>2.99</v>
      </c>
    </row>
    <row r="164" spans="1:6" x14ac:dyDescent="0.7">
      <c r="A164" s="4">
        <v>8835652</v>
      </c>
      <c r="B164" s="4" t="s">
        <v>363</v>
      </c>
      <c r="C164" s="4" t="s">
        <v>39</v>
      </c>
      <c r="D164" s="4" t="s">
        <v>258</v>
      </c>
      <c r="E164" s="63">
        <v>1.57</v>
      </c>
      <c r="F164" s="63">
        <v>3.03</v>
      </c>
    </row>
    <row r="165" spans="1:6" x14ac:dyDescent="0.7">
      <c r="A165" s="4">
        <v>2926591</v>
      </c>
      <c r="B165" s="4" t="s">
        <v>101</v>
      </c>
      <c r="C165" s="4" t="s">
        <v>39</v>
      </c>
      <c r="D165" s="4" t="s">
        <v>261</v>
      </c>
      <c r="E165" s="63">
        <v>1.26</v>
      </c>
      <c r="F165" s="63">
        <v>2.14</v>
      </c>
    </row>
    <row r="166" spans="1:6" x14ac:dyDescent="0.7">
      <c r="A166" s="4">
        <v>6661192</v>
      </c>
      <c r="B166" s="4" t="s">
        <v>98</v>
      </c>
      <c r="C166" s="4" t="s">
        <v>39</v>
      </c>
      <c r="D166" s="4" t="s">
        <v>261</v>
      </c>
      <c r="E166" s="63">
        <v>1.63</v>
      </c>
      <c r="F166" s="63">
        <v>3.27</v>
      </c>
    </row>
    <row r="167" spans="1:6" x14ac:dyDescent="0.7">
      <c r="A167" s="4">
        <v>7495318</v>
      </c>
      <c r="B167" s="4" t="s">
        <v>262</v>
      </c>
      <c r="C167" s="4" t="s">
        <v>39</v>
      </c>
      <c r="D167" s="4" t="s">
        <v>261</v>
      </c>
      <c r="E167" s="63">
        <v>1.87</v>
      </c>
      <c r="F167" s="63">
        <v>3.81</v>
      </c>
    </row>
    <row r="168" spans="1:6" x14ac:dyDescent="0.7">
      <c r="A168" s="4">
        <v>3497400</v>
      </c>
      <c r="B168" s="4" t="s">
        <v>263</v>
      </c>
      <c r="C168" s="4" t="s">
        <v>39</v>
      </c>
      <c r="D168" s="4" t="s">
        <v>261</v>
      </c>
      <c r="E168" s="63">
        <v>1.71</v>
      </c>
      <c r="F168" s="63">
        <v>3.53</v>
      </c>
    </row>
    <row r="169" spans="1:6" x14ac:dyDescent="0.7">
      <c r="A169" s="4">
        <v>2749116</v>
      </c>
      <c r="B169" s="4" t="s">
        <v>264</v>
      </c>
      <c r="C169" s="4" t="s">
        <v>40</v>
      </c>
      <c r="D169" s="4" t="s">
        <v>265</v>
      </c>
      <c r="E169" s="63">
        <v>1.33</v>
      </c>
      <c r="F169" s="63">
        <v>3.45</v>
      </c>
    </row>
    <row r="170" spans="1:6" x14ac:dyDescent="0.7">
      <c r="A170" s="4">
        <v>9657162</v>
      </c>
      <c r="B170" s="4" t="s">
        <v>91</v>
      </c>
      <c r="C170" s="4" t="s">
        <v>40</v>
      </c>
      <c r="D170" s="4" t="s">
        <v>265</v>
      </c>
      <c r="E170" s="63">
        <v>1.3</v>
      </c>
      <c r="F170" s="63">
        <v>2.81</v>
      </c>
    </row>
    <row r="171" spans="1:6" x14ac:dyDescent="0.7">
      <c r="A171" s="4">
        <v>8515368</v>
      </c>
      <c r="B171" s="4" t="s">
        <v>49</v>
      </c>
      <c r="C171" s="4" t="s">
        <v>40</v>
      </c>
      <c r="D171" s="4" t="s">
        <v>265</v>
      </c>
      <c r="E171" s="63">
        <v>1.72</v>
      </c>
      <c r="F171" s="63">
        <v>3.84</v>
      </c>
    </row>
    <row r="172" spans="1:6" x14ac:dyDescent="0.7">
      <c r="A172" s="4">
        <v>4577331</v>
      </c>
      <c r="B172" s="4" t="s">
        <v>266</v>
      </c>
      <c r="C172" s="4" t="s">
        <v>40</v>
      </c>
      <c r="D172" s="4" t="s">
        <v>265</v>
      </c>
      <c r="E172" s="63">
        <v>1.1000000000000001</v>
      </c>
      <c r="F172" s="63">
        <v>3.46</v>
      </c>
    </row>
    <row r="173" spans="1:6" x14ac:dyDescent="0.7">
      <c r="A173" s="4">
        <v>5351392</v>
      </c>
      <c r="B173" s="4" t="s">
        <v>364</v>
      </c>
      <c r="C173" s="4" t="s">
        <v>40</v>
      </c>
      <c r="D173" s="4" t="s">
        <v>52</v>
      </c>
      <c r="E173" s="63">
        <v>1.1499999999999999</v>
      </c>
      <c r="F173" s="63">
        <v>2.77</v>
      </c>
    </row>
    <row r="174" spans="1:6" x14ac:dyDescent="0.7">
      <c r="A174" s="4">
        <v>4500788</v>
      </c>
      <c r="B174" s="4" t="s">
        <v>267</v>
      </c>
      <c r="C174" s="4" t="s">
        <v>40</v>
      </c>
      <c r="D174" s="4" t="s">
        <v>52</v>
      </c>
      <c r="E174" s="63">
        <v>1.97</v>
      </c>
      <c r="F174" s="63">
        <v>3.85</v>
      </c>
    </row>
    <row r="175" spans="1:6" x14ac:dyDescent="0.7">
      <c r="A175" s="4">
        <v>7378200</v>
      </c>
      <c r="B175" s="4" t="s">
        <v>268</v>
      </c>
      <c r="C175" s="4" t="s">
        <v>40</v>
      </c>
      <c r="D175" s="4" t="s">
        <v>52</v>
      </c>
      <c r="E175" s="63">
        <v>1.3</v>
      </c>
      <c r="F175" s="63">
        <v>2.57</v>
      </c>
    </row>
    <row r="176" spans="1:6" x14ac:dyDescent="0.7">
      <c r="A176" s="4">
        <v>9893262</v>
      </c>
      <c r="B176" s="4" t="s">
        <v>269</v>
      </c>
      <c r="C176" s="4" t="s">
        <v>40</v>
      </c>
      <c r="D176" s="4" t="s">
        <v>52</v>
      </c>
      <c r="E176" s="63">
        <v>1.06</v>
      </c>
      <c r="F176" s="63">
        <v>3.59</v>
      </c>
    </row>
    <row r="177" spans="1:6" x14ac:dyDescent="0.7">
      <c r="A177" s="4">
        <v>1553894</v>
      </c>
      <c r="B177" s="4" t="s">
        <v>365</v>
      </c>
      <c r="C177" s="4" t="s">
        <v>40</v>
      </c>
      <c r="D177" s="4" t="s">
        <v>52</v>
      </c>
      <c r="E177" s="63">
        <v>1.1200000000000001</v>
      </c>
      <c r="F177" s="63">
        <v>2.31</v>
      </c>
    </row>
    <row r="178" spans="1:6" x14ac:dyDescent="0.7">
      <c r="A178" s="4">
        <v>5438061</v>
      </c>
      <c r="B178" s="4" t="s">
        <v>366</v>
      </c>
      <c r="C178" s="4" t="s">
        <v>40</v>
      </c>
      <c r="D178" s="4" t="s">
        <v>74</v>
      </c>
      <c r="E178" s="63">
        <v>1.24</v>
      </c>
      <c r="F178" s="63">
        <v>3.22</v>
      </c>
    </row>
    <row r="179" spans="1:6" x14ac:dyDescent="0.7">
      <c r="A179" s="4">
        <v>3383269</v>
      </c>
      <c r="B179" s="4" t="s">
        <v>270</v>
      </c>
      <c r="C179" s="4" t="s">
        <v>40</v>
      </c>
      <c r="D179" s="4" t="s">
        <v>74</v>
      </c>
      <c r="E179" s="63">
        <v>1.98</v>
      </c>
      <c r="F179" s="63">
        <v>2.83</v>
      </c>
    </row>
    <row r="180" spans="1:6" x14ac:dyDescent="0.7">
      <c r="A180" s="4">
        <v>2848989</v>
      </c>
      <c r="B180" s="4" t="s">
        <v>271</v>
      </c>
      <c r="C180" s="4" t="s">
        <v>40</v>
      </c>
      <c r="D180" s="4" t="s">
        <v>74</v>
      </c>
      <c r="E180" s="63">
        <v>1.84</v>
      </c>
      <c r="F180" s="63">
        <v>2.2200000000000002</v>
      </c>
    </row>
    <row r="181" spans="1:6" x14ac:dyDescent="0.7">
      <c r="A181" s="4">
        <v>5590761</v>
      </c>
      <c r="B181" s="4" t="s">
        <v>367</v>
      </c>
      <c r="C181" s="4" t="s">
        <v>40</v>
      </c>
      <c r="D181" s="4" t="s">
        <v>74</v>
      </c>
      <c r="E181" s="63">
        <v>1.03</v>
      </c>
      <c r="F181" s="63">
        <v>2.34</v>
      </c>
    </row>
    <row r="182" spans="1:6" x14ac:dyDescent="0.7">
      <c r="A182" s="4">
        <v>4219383</v>
      </c>
      <c r="B182" s="4" t="s">
        <v>272</v>
      </c>
      <c r="C182" s="4" t="s">
        <v>40</v>
      </c>
      <c r="D182" s="4" t="s">
        <v>76</v>
      </c>
      <c r="E182" s="63">
        <v>1.62</v>
      </c>
      <c r="F182" s="63">
        <v>3.16</v>
      </c>
    </row>
    <row r="183" spans="1:6" x14ac:dyDescent="0.7">
      <c r="A183" s="4">
        <v>6418579</v>
      </c>
      <c r="B183" s="4" t="s">
        <v>273</v>
      </c>
      <c r="C183" s="4" t="s">
        <v>40</v>
      </c>
      <c r="D183" s="4" t="s">
        <v>76</v>
      </c>
      <c r="E183" s="63">
        <v>1.87</v>
      </c>
      <c r="F183" s="63">
        <v>3.68</v>
      </c>
    </row>
    <row r="184" spans="1:6" x14ac:dyDescent="0.7">
      <c r="A184" s="4">
        <v>3176188</v>
      </c>
      <c r="B184" s="4" t="s">
        <v>368</v>
      </c>
      <c r="C184" s="4" t="s">
        <v>40</v>
      </c>
      <c r="D184" s="4" t="s">
        <v>76</v>
      </c>
      <c r="E184" s="63">
        <v>1.77</v>
      </c>
      <c r="F184" s="63">
        <v>2.2200000000000002</v>
      </c>
    </row>
    <row r="185" spans="1:6" x14ac:dyDescent="0.7">
      <c r="A185" s="4">
        <v>1506991</v>
      </c>
      <c r="B185" s="4" t="s">
        <v>369</v>
      </c>
      <c r="C185" s="4" t="s">
        <v>40</v>
      </c>
      <c r="D185" s="4" t="s">
        <v>76</v>
      </c>
      <c r="E185" s="63">
        <v>1.1399999999999999</v>
      </c>
      <c r="F185" s="63">
        <v>2.06</v>
      </c>
    </row>
    <row r="186" spans="1:6" x14ac:dyDescent="0.7">
      <c r="A186" s="4">
        <v>6679139</v>
      </c>
      <c r="B186" s="4" t="s">
        <v>370</v>
      </c>
      <c r="C186" s="4" t="s">
        <v>40</v>
      </c>
      <c r="D186" s="4" t="s">
        <v>76</v>
      </c>
      <c r="E186" s="63">
        <v>1.22</v>
      </c>
      <c r="F186" s="63">
        <v>3.44</v>
      </c>
    </row>
    <row r="187" spans="1:6" x14ac:dyDescent="0.7">
      <c r="A187" s="4">
        <v>5188070</v>
      </c>
      <c r="B187" s="4" t="s">
        <v>274</v>
      </c>
      <c r="C187" s="4" t="s">
        <v>40</v>
      </c>
      <c r="D187" s="4" t="s">
        <v>85</v>
      </c>
      <c r="E187" s="63">
        <v>1.37</v>
      </c>
      <c r="F187" s="63">
        <v>2.67</v>
      </c>
    </row>
    <row r="188" spans="1:6" x14ac:dyDescent="0.7">
      <c r="A188" s="4">
        <v>3407898</v>
      </c>
      <c r="B188" s="4" t="s">
        <v>371</v>
      </c>
      <c r="C188" s="4" t="s">
        <v>40</v>
      </c>
      <c r="D188" s="4" t="s">
        <v>85</v>
      </c>
      <c r="E188" s="63">
        <v>1.64</v>
      </c>
      <c r="F188" s="63">
        <v>3.08</v>
      </c>
    </row>
    <row r="189" spans="1:6" x14ac:dyDescent="0.7">
      <c r="A189" s="4">
        <v>1346289</v>
      </c>
      <c r="B189" s="4" t="s">
        <v>275</v>
      </c>
      <c r="C189" s="4" t="s">
        <v>40</v>
      </c>
      <c r="D189" s="4" t="s">
        <v>85</v>
      </c>
      <c r="E189" s="63">
        <v>1.38</v>
      </c>
      <c r="F189" s="63">
        <v>3.49</v>
      </c>
    </row>
    <row r="190" spans="1:6" x14ac:dyDescent="0.7">
      <c r="A190" s="4">
        <v>2727538</v>
      </c>
      <c r="B190" s="4" t="s">
        <v>276</v>
      </c>
      <c r="C190" s="4" t="s">
        <v>40</v>
      </c>
      <c r="D190" s="4" t="s">
        <v>85</v>
      </c>
      <c r="E190" s="63">
        <v>1.93</v>
      </c>
      <c r="F190" s="63">
        <v>2.48</v>
      </c>
    </row>
    <row r="191" spans="1:6" x14ac:dyDescent="0.7">
      <c r="A191" s="4">
        <v>7604499</v>
      </c>
      <c r="B191" s="4" t="s">
        <v>277</v>
      </c>
      <c r="C191" s="4" t="s">
        <v>40</v>
      </c>
      <c r="D191" s="4" t="s">
        <v>278</v>
      </c>
      <c r="E191" s="63">
        <v>1.21</v>
      </c>
      <c r="F191" s="63">
        <v>2.78</v>
      </c>
    </row>
    <row r="192" spans="1:6" x14ac:dyDescent="0.7">
      <c r="A192" s="4">
        <v>2384982</v>
      </c>
      <c r="B192" s="4" t="s">
        <v>279</v>
      </c>
      <c r="C192" s="4" t="s">
        <v>40</v>
      </c>
      <c r="D192" s="4" t="s">
        <v>278</v>
      </c>
      <c r="E192" s="63">
        <v>1.36</v>
      </c>
      <c r="F192" s="63">
        <v>3.72</v>
      </c>
    </row>
    <row r="193" spans="1:6" x14ac:dyDescent="0.7">
      <c r="A193" s="4">
        <v>8725476</v>
      </c>
      <c r="B193" s="4" t="s">
        <v>280</v>
      </c>
      <c r="C193" s="4" t="s">
        <v>40</v>
      </c>
      <c r="D193" s="4" t="s">
        <v>278</v>
      </c>
      <c r="E193" s="63">
        <v>1.24</v>
      </c>
      <c r="F193" s="63">
        <v>3.52</v>
      </c>
    </row>
    <row r="194" spans="1:6" x14ac:dyDescent="0.7">
      <c r="A194" s="4">
        <v>8038934</v>
      </c>
      <c r="B194" s="4" t="s">
        <v>372</v>
      </c>
      <c r="C194" s="4" t="s">
        <v>40</v>
      </c>
      <c r="D194" s="4" t="s">
        <v>278</v>
      </c>
      <c r="E194" s="63">
        <v>1.1599999999999999</v>
      </c>
      <c r="F194" s="63">
        <v>2.13</v>
      </c>
    </row>
    <row r="195" spans="1:6" x14ac:dyDescent="0.7">
      <c r="A195" s="4">
        <v>5915831</v>
      </c>
      <c r="B195" s="4" t="s">
        <v>281</v>
      </c>
      <c r="C195" s="4" t="s">
        <v>40</v>
      </c>
      <c r="D195" s="4" t="s">
        <v>282</v>
      </c>
      <c r="E195" s="63">
        <v>1.07</v>
      </c>
      <c r="F195" s="63">
        <v>3.66</v>
      </c>
    </row>
    <row r="196" spans="1:6" x14ac:dyDescent="0.7">
      <c r="A196" s="4">
        <v>8269509</v>
      </c>
      <c r="B196" s="4" t="s">
        <v>283</v>
      </c>
      <c r="C196" s="4" t="s">
        <v>40</v>
      </c>
      <c r="D196" s="4" t="s">
        <v>282</v>
      </c>
      <c r="E196" s="63">
        <v>1.24</v>
      </c>
      <c r="F196" s="63">
        <v>3.28</v>
      </c>
    </row>
    <row r="197" spans="1:6" x14ac:dyDescent="0.7">
      <c r="A197" s="4">
        <v>3993149</v>
      </c>
      <c r="B197" s="4" t="s">
        <v>284</v>
      </c>
      <c r="C197" s="4" t="s">
        <v>40</v>
      </c>
      <c r="D197" s="4" t="s">
        <v>282</v>
      </c>
      <c r="E197" s="63">
        <v>1.56</v>
      </c>
      <c r="F197" s="63">
        <v>2.09</v>
      </c>
    </row>
    <row r="198" spans="1:6" x14ac:dyDescent="0.7">
      <c r="A198" s="4">
        <v>4238886</v>
      </c>
      <c r="B198" s="4" t="s">
        <v>285</v>
      </c>
      <c r="C198" s="4" t="s">
        <v>40</v>
      </c>
      <c r="D198" s="4" t="s">
        <v>282</v>
      </c>
      <c r="E198" s="63">
        <v>1.91</v>
      </c>
      <c r="F198" s="63">
        <v>2.87</v>
      </c>
    </row>
    <row r="199" spans="1:6" x14ac:dyDescent="0.7">
      <c r="A199" s="4">
        <v>2020174</v>
      </c>
      <c r="B199" s="4" t="s">
        <v>286</v>
      </c>
      <c r="C199" s="4" t="s">
        <v>40</v>
      </c>
      <c r="D199" s="4" t="s">
        <v>282</v>
      </c>
      <c r="E199" s="63">
        <v>1.95</v>
      </c>
      <c r="F199" s="63">
        <v>2.25</v>
      </c>
    </row>
    <row r="200" spans="1:6" x14ac:dyDescent="0.7">
      <c r="A200" s="4">
        <v>4187192</v>
      </c>
      <c r="B200" s="4" t="s">
        <v>373</v>
      </c>
      <c r="C200" s="4" t="s">
        <v>40</v>
      </c>
      <c r="D200" s="4" t="s">
        <v>88</v>
      </c>
      <c r="E200" s="63">
        <v>1.75</v>
      </c>
      <c r="F200" s="63">
        <v>3.96</v>
      </c>
    </row>
    <row r="201" spans="1:6" x14ac:dyDescent="0.7">
      <c r="A201" s="4">
        <v>4517002</v>
      </c>
      <c r="B201" s="4" t="s">
        <v>287</v>
      </c>
      <c r="C201" s="4" t="s">
        <v>40</v>
      </c>
      <c r="D201" s="4" t="s">
        <v>88</v>
      </c>
      <c r="E201" s="63">
        <v>1.61</v>
      </c>
      <c r="F201" s="63">
        <v>2.41</v>
      </c>
    </row>
    <row r="202" spans="1:6" x14ac:dyDescent="0.7">
      <c r="A202" s="4">
        <v>2430690</v>
      </c>
      <c r="B202" s="4" t="s">
        <v>288</v>
      </c>
      <c r="C202" s="4" t="s">
        <v>40</v>
      </c>
      <c r="D202" s="4" t="s">
        <v>88</v>
      </c>
      <c r="E202" s="63">
        <v>1.45</v>
      </c>
      <c r="F202" s="63">
        <v>3.85</v>
      </c>
    </row>
    <row r="203" spans="1:6" x14ac:dyDescent="0.7">
      <c r="A203" s="4">
        <v>7305734</v>
      </c>
      <c r="B203" s="4" t="s">
        <v>289</v>
      </c>
      <c r="C203" s="4" t="s">
        <v>40</v>
      </c>
      <c r="D203" s="4" t="s">
        <v>88</v>
      </c>
      <c r="E203" s="63">
        <v>1.38</v>
      </c>
      <c r="F203" s="63">
        <v>3.1</v>
      </c>
    </row>
    <row r="204" spans="1:6" x14ac:dyDescent="0.7">
      <c r="A204" s="4">
        <v>3102167</v>
      </c>
      <c r="B204" s="4" t="s">
        <v>290</v>
      </c>
      <c r="C204" s="4" t="s">
        <v>40</v>
      </c>
      <c r="D204" s="4" t="s">
        <v>88</v>
      </c>
      <c r="E204" s="63">
        <v>1.21</v>
      </c>
      <c r="F204" s="63">
        <v>2.68</v>
      </c>
    </row>
    <row r="205" spans="1:6" x14ac:dyDescent="0.7">
      <c r="A205" s="4">
        <v>9074990</v>
      </c>
      <c r="B205" s="4" t="s">
        <v>291</v>
      </c>
      <c r="C205" s="4" t="s">
        <v>40</v>
      </c>
      <c r="D205" s="4" t="s">
        <v>292</v>
      </c>
      <c r="E205" s="63">
        <v>1.68</v>
      </c>
      <c r="F205" s="63">
        <v>3.58</v>
      </c>
    </row>
    <row r="206" spans="1:6" x14ac:dyDescent="0.7">
      <c r="A206" s="4">
        <v>8555946</v>
      </c>
      <c r="B206" s="4" t="s">
        <v>293</v>
      </c>
      <c r="C206" s="4" t="s">
        <v>40</v>
      </c>
      <c r="D206" s="4" t="s">
        <v>292</v>
      </c>
      <c r="E206" s="63">
        <v>1.67</v>
      </c>
      <c r="F206" s="63">
        <v>2.8</v>
      </c>
    </row>
    <row r="207" spans="1:6" x14ac:dyDescent="0.7">
      <c r="A207" s="4">
        <v>2338545</v>
      </c>
      <c r="B207" s="4" t="s">
        <v>79</v>
      </c>
      <c r="C207" s="4" t="s">
        <v>40</v>
      </c>
      <c r="D207" s="4" t="s">
        <v>292</v>
      </c>
      <c r="E207" s="63">
        <v>1.91</v>
      </c>
      <c r="F207" s="63">
        <v>3.43</v>
      </c>
    </row>
    <row r="208" spans="1:6" x14ac:dyDescent="0.7">
      <c r="A208" s="4">
        <v>2573027</v>
      </c>
      <c r="B208" s="4" t="s">
        <v>294</v>
      </c>
      <c r="C208" s="4" t="s">
        <v>40</v>
      </c>
      <c r="D208" s="4" t="s">
        <v>292</v>
      </c>
      <c r="E208" s="63">
        <v>1.57</v>
      </c>
      <c r="F208" s="63">
        <v>2.23</v>
      </c>
    </row>
    <row r="209" spans="1:6" x14ac:dyDescent="0.7">
      <c r="A209" s="4">
        <v>9820151</v>
      </c>
      <c r="B209" s="4" t="s">
        <v>374</v>
      </c>
      <c r="C209" s="4" t="s">
        <v>40</v>
      </c>
      <c r="D209" s="4" t="s">
        <v>103</v>
      </c>
      <c r="E209" s="63">
        <v>1.4</v>
      </c>
      <c r="F209" s="63">
        <v>3.48</v>
      </c>
    </row>
    <row r="210" spans="1:6" x14ac:dyDescent="0.7">
      <c r="A210" s="4">
        <v>7441735</v>
      </c>
      <c r="B210" s="4" t="s">
        <v>295</v>
      </c>
      <c r="C210" s="4" t="s">
        <v>40</v>
      </c>
      <c r="D210" s="4" t="s">
        <v>103</v>
      </c>
      <c r="E210" s="63">
        <v>1.95</v>
      </c>
      <c r="F210" s="63">
        <v>3.5</v>
      </c>
    </row>
    <row r="211" spans="1:6" x14ac:dyDescent="0.7">
      <c r="A211" s="4">
        <v>5433857</v>
      </c>
      <c r="B211" s="4" t="s">
        <v>296</v>
      </c>
      <c r="C211" s="4" t="s">
        <v>40</v>
      </c>
      <c r="D211" s="4" t="s">
        <v>103</v>
      </c>
      <c r="E211" s="63">
        <v>1.6</v>
      </c>
      <c r="F211" s="63">
        <v>3.46</v>
      </c>
    </row>
    <row r="212" spans="1:6" x14ac:dyDescent="0.7">
      <c r="A212" s="4">
        <v>5797152</v>
      </c>
      <c r="B212" s="4" t="s">
        <v>375</v>
      </c>
      <c r="C212" s="4" t="s">
        <v>40</v>
      </c>
      <c r="D212" s="4" t="s">
        <v>103</v>
      </c>
      <c r="E212" s="63">
        <v>1.22</v>
      </c>
      <c r="F212" s="63">
        <v>3.58</v>
      </c>
    </row>
    <row r="213" spans="1:6" x14ac:dyDescent="0.7">
      <c r="A213" s="4">
        <v>3700684</v>
      </c>
      <c r="B213" s="4" t="s">
        <v>297</v>
      </c>
      <c r="C213" s="4" t="s">
        <v>40</v>
      </c>
      <c r="D213" s="4" t="s">
        <v>103</v>
      </c>
      <c r="E213" s="63">
        <v>1.95</v>
      </c>
      <c r="F213" s="63">
        <v>3.65</v>
      </c>
    </row>
    <row r="214" spans="1:6" x14ac:dyDescent="0.7">
      <c r="A214" s="4">
        <v>6934654</v>
      </c>
      <c r="B214" s="4" t="s">
        <v>298</v>
      </c>
      <c r="C214" s="4" t="s">
        <v>40</v>
      </c>
      <c r="D214" s="4" t="s">
        <v>102</v>
      </c>
      <c r="E214" s="63">
        <v>1.88</v>
      </c>
      <c r="F214" s="63">
        <v>2.0699999999999998</v>
      </c>
    </row>
    <row r="215" spans="1:6" x14ac:dyDescent="0.7">
      <c r="A215" s="4">
        <v>9588331</v>
      </c>
      <c r="B215" s="4" t="s">
        <v>299</v>
      </c>
      <c r="C215" s="4" t="s">
        <v>40</v>
      </c>
      <c r="D215" s="4" t="s">
        <v>102</v>
      </c>
      <c r="E215" s="63">
        <v>1.74</v>
      </c>
      <c r="F215" s="63">
        <v>2.36</v>
      </c>
    </row>
    <row r="216" spans="1:6" x14ac:dyDescent="0.7">
      <c r="A216" s="4">
        <v>2215579</v>
      </c>
      <c r="B216" s="4" t="s">
        <v>376</v>
      </c>
      <c r="C216" s="4" t="s">
        <v>40</v>
      </c>
      <c r="D216" s="4" t="s">
        <v>102</v>
      </c>
      <c r="E216" s="63">
        <v>1.2</v>
      </c>
      <c r="F216" s="63">
        <v>3.3</v>
      </c>
    </row>
    <row r="217" spans="1:6" x14ac:dyDescent="0.7">
      <c r="A217" s="4">
        <v>7543590</v>
      </c>
      <c r="B217" s="4" t="s">
        <v>377</v>
      </c>
      <c r="C217" s="4" t="s">
        <v>40</v>
      </c>
      <c r="D217" s="4" t="s">
        <v>102</v>
      </c>
      <c r="E217" s="63">
        <v>1.05</v>
      </c>
      <c r="F217" s="63">
        <v>3.74</v>
      </c>
    </row>
    <row r="218" spans="1:6" x14ac:dyDescent="0.7">
      <c r="A218" s="4">
        <v>8427616</v>
      </c>
      <c r="B218" s="4" t="s">
        <v>378</v>
      </c>
      <c r="C218" s="4" t="s">
        <v>40</v>
      </c>
      <c r="D218" s="4" t="s">
        <v>379</v>
      </c>
      <c r="E218" s="63">
        <v>1.82</v>
      </c>
      <c r="F218" s="63">
        <v>2.23</v>
      </c>
    </row>
    <row r="219" spans="1:6" x14ac:dyDescent="0.7">
      <c r="A219" s="4">
        <v>2600262</v>
      </c>
      <c r="B219" s="4" t="s">
        <v>380</v>
      </c>
      <c r="C219" s="4" t="s">
        <v>40</v>
      </c>
      <c r="D219" s="4" t="s">
        <v>379</v>
      </c>
      <c r="E219" s="63">
        <v>1.95</v>
      </c>
      <c r="F219" s="63">
        <v>2.74</v>
      </c>
    </row>
    <row r="220" spans="1:6" x14ac:dyDescent="0.7">
      <c r="A220" s="4">
        <v>9004512</v>
      </c>
      <c r="B220" s="4" t="s">
        <v>381</v>
      </c>
      <c r="C220" s="4" t="s">
        <v>40</v>
      </c>
      <c r="D220" s="4" t="s">
        <v>379</v>
      </c>
      <c r="E220" s="63">
        <v>1.97</v>
      </c>
      <c r="F220" s="63">
        <v>3.64</v>
      </c>
    </row>
    <row r="221" spans="1:6" x14ac:dyDescent="0.7">
      <c r="A221" s="4">
        <v>3005412</v>
      </c>
      <c r="B221" s="4" t="s">
        <v>382</v>
      </c>
      <c r="C221" s="4" t="s">
        <v>40</v>
      </c>
      <c r="D221" s="4" t="s">
        <v>379</v>
      </c>
      <c r="E221" s="63">
        <v>1.98</v>
      </c>
      <c r="F221" s="63">
        <v>2.4900000000000002</v>
      </c>
    </row>
    <row r="222" spans="1:6" x14ac:dyDescent="0.7">
      <c r="A222" s="4">
        <v>1234465</v>
      </c>
      <c r="B222" s="4" t="s">
        <v>300</v>
      </c>
      <c r="C222" s="4" t="s">
        <v>41</v>
      </c>
      <c r="D222" s="4" t="s">
        <v>50</v>
      </c>
      <c r="E222" s="63">
        <v>1.7</v>
      </c>
      <c r="F222" s="63">
        <v>2.81</v>
      </c>
    </row>
    <row r="223" spans="1:6" x14ac:dyDescent="0.7">
      <c r="A223" s="4">
        <v>9388963</v>
      </c>
      <c r="B223" s="4" t="s">
        <v>301</v>
      </c>
      <c r="C223" s="4" t="s">
        <v>41</v>
      </c>
      <c r="D223" s="4" t="s">
        <v>50</v>
      </c>
      <c r="E223" s="63">
        <v>1.41</v>
      </c>
      <c r="F223" s="63">
        <v>3.56</v>
      </c>
    </row>
    <row r="224" spans="1:6" x14ac:dyDescent="0.7">
      <c r="A224" s="4">
        <v>8813930</v>
      </c>
      <c r="B224" s="4" t="s">
        <v>302</v>
      </c>
      <c r="C224" s="4" t="s">
        <v>41</v>
      </c>
      <c r="D224" s="4" t="s">
        <v>50</v>
      </c>
      <c r="E224" s="63">
        <v>1.53</v>
      </c>
      <c r="F224" s="63">
        <v>2.2799999999999998</v>
      </c>
    </row>
    <row r="225" spans="1:6" x14ac:dyDescent="0.7">
      <c r="A225" s="4">
        <v>5729333</v>
      </c>
      <c r="B225" s="4" t="s">
        <v>383</v>
      </c>
      <c r="C225" s="4" t="s">
        <v>41</v>
      </c>
      <c r="D225" s="4" t="s">
        <v>50</v>
      </c>
      <c r="E225" s="63">
        <v>1.47</v>
      </c>
      <c r="F225" s="63">
        <v>2.2999999999999998</v>
      </c>
    </row>
    <row r="226" spans="1:6" x14ac:dyDescent="0.7">
      <c r="A226" s="4">
        <v>8045309</v>
      </c>
      <c r="B226" s="4" t="s">
        <v>303</v>
      </c>
      <c r="C226" s="4" t="s">
        <v>41</v>
      </c>
      <c r="D226" s="4" t="s">
        <v>50</v>
      </c>
      <c r="E226" s="63">
        <v>1.0900000000000001</v>
      </c>
      <c r="F226" s="63">
        <v>2.95</v>
      </c>
    </row>
    <row r="227" spans="1:6" x14ac:dyDescent="0.7">
      <c r="A227" s="4">
        <v>6127951</v>
      </c>
      <c r="B227" s="4" t="s">
        <v>304</v>
      </c>
      <c r="C227" s="4" t="s">
        <v>41</v>
      </c>
      <c r="D227" s="4" t="s">
        <v>53</v>
      </c>
      <c r="E227" s="63">
        <v>1.73</v>
      </c>
      <c r="F227" s="63">
        <v>2.08</v>
      </c>
    </row>
    <row r="228" spans="1:6" x14ac:dyDescent="0.7">
      <c r="A228" s="4">
        <v>2265968</v>
      </c>
      <c r="B228" s="4" t="s">
        <v>305</v>
      </c>
      <c r="C228" s="4" t="s">
        <v>41</v>
      </c>
      <c r="D228" s="4" t="s">
        <v>53</v>
      </c>
      <c r="E228" s="63">
        <v>1.1299999999999999</v>
      </c>
      <c r="F228" s="63">
        <v>2.31</v>
      </c>
    </row>
    <row r="229" spans="1:6" x14ac:dyDescent="0.7">
      <c r="A229" s="4">
        <v>6080706</v>
      </c>
      <c r="B229" s="4" t="s">
        <v>306</v>
      </c>
      <c r="C229" s="4" t="s">
        <v>41</v>
      </c>
      <c r="D229" s="4" t="s">
        <v>53</v>
      </c>
      <c r="E229" s="63">
        <v>1.24</v>
      </c>
      <c r="F229" s="63">
        <v>2.78</v>
      </c>
    </row>
    <row r="230" spans="1:6" x14ac:dyDescent="0.7">
      <c r="A230" s="4">
        <v>4375473</v>
      </c>
      <c r="B230" s="4" t="s">
        <v>307</v>
      </c>
      <c r="C230" s="4" t="s">
        <v>41</v>
      </c>
      <c r="D230" s="4" t="s">
        <v>53</v>
      </c>
      <c r="E230" s="63">
        <v>1.36</v>
      </c>
      <c r="F230" s="63">
        <v>2.31</v>
      </c>
    </row>
    <row r="231" spans="1:6" x14ac:dyDescent="0.7">
      <c r="A231" s="4">
        <v>3401496</v>
      </c>
      <c r="B231" s="4" t="s">
        <v>308</v>
      </c>
      <c r="C231" s="4" t="s">
        <v>41</v>
      </c>
      <c r="D231" s="4" t="s">
        <v>53</v>
      </c>
      <c r="E231" s="63">
        <v>1.1599999999999999</v>
      </c>
      <c r="F231" s="63">
        <v>3.2</v>
      </c>
    </row>
    <row r="232" spans="1:6" x14ac:dyDescent="0.7">
      <c r="A232" s="4">
        <v>3585362</v>
      </c>
      <c r="B232" s="4" t="s">
        <v>309</v>
      </c>
      <c r="C232" s="4" t="s">
        <v>41</v>
      </c>
      <c r="D232" s="4" t="s">
        <v>95</v>
      </c>
      <c r="E232" s="63">
        <v>1.1399999999999999</v>
      </c>
      <c r="F232" s="63">
        <v>2.31</v>
      </c>
    </row>
    <row r="233" spans="1:6" x14ac:dyDescent="0.7">
      <c r="A233" s="4">
        <v>2686518</v>
      </c>
      <c r="B233" s="4" t="s">
        <v>310</v>
      </c>
      <c r="C233" s="4" t="s">
        <v>41</v>
      </c>
      <c r="D233" s="4" t="s">
        <v>95</v>
      </c>
      <c r="E233" s="63">
        <v>1.1399999999999999</v>
      </c>
      <c r="F233" s="63">
        <v>2.7</v>
      </c>
    </row>
    <row r="234" spans="1:6" x14ac:dyDescent="0.7">
      <c r="A234" s="4">
        <v>3312011</v>
      </c>
      <c r="B234" s="4" t="s">
        <v>311</v>
      </c>
      <c r="C234" s="4" t="s">
        <v>41</v>
      </c>
      <c r="D234" s="4" t="s">
        <v>95</v>
      </c>
      <c r="E234" s="63">
        <v>1.87</v>
      </c>
      <c r="F234" s="63">
        <v>2.85</v>
      </c>
    </row>
    <row r="235" spans="1:6" x14ac:dyDescent="0.7">
      <c r="A235" s="4">
        <v>8955335</v>
      </c>
      <c r="B235" s="4" t="s">
        <v>312</v>
      </c>
      <c r="C235" s="4" t="s">
        <v>41</v>
      </c>
      <c r="D235" s="4" t="s">
        <v>95</v>
      </c>
      <c r="E235" s="63">
        <v>1.06</v>
      </c>
      <c r="F235" s="63">
        <v>3.43</v>
      </c>
    </row>
    <row r="236" spans="1:6" x14ac:dyDescent="0.7">
      <c r="A236" s="4">
        <v>8344644</v>
      </c>
      <c r="B236" s="4" t="s">
        <v>313</v>
      </c>
      <c r="C236" s="4" t="s">
        <v>41</v>
      </c>
      <c r="D236" s="4" t="s">
        <v>95</v>
      </c>
      <c r="E236" s="63">
        <v>1.95</v>
      </c>
      <c r="F236" s="63">
        <v>2.25</v>
      </c>
    </row>
    <row r="237" spans="1:6" x14ac:dyDescent="0.7">
      <c r="A237" s="4">
        <v>1879969</v>
      </c>
      <c r="B237" s="4" t="s">
        <v>384</v>
      </c>
      <c r="C237" s="4" t="s">
        <v>41</v>
      </c>
      <c r="D237" s="4" t="s">
        <v>55</v>
      </c>
      <c r="E237" s="63">
        <v>1.42</v>
      </c>
      <c r="F237" s="63">
        <v>3.49</v>
      </c>
    </row>
    <row r="238" spans="1:6" x14ac:dyDescent="0.7">
      <c r="A238" s="4">
        <v>4938834</v>
      </c>
      <c r="B238" s="4" t="s">
        <v>385</v>
      </c>
      <c r="C238" s="4" t="s">
        <v>41</v>
      </c>
      <c r="D238" s="4" t="s">
        <v>55</v>
      </c>
      <c r="E238" s="63">
        <v>1.03</v>
      </c>
      <c r="F238" s="63">
        <v>2.83</v>
      </c>
    </row>
    <row r="239" spans="1:6" x14ac:dyDescent="0.7">
      <c r="A239" s="4">
        <v>9591156</v>
      </c>
      <c r="B239" s="4" t="s">
        <v>386</v>
      </c>
      <c r="C239" s="4" t="s">
        <v>41</v>
      </c>
      <c r="D239" s="4" t="s">
        <v>55</v>
      </c>
      <c r="E239" s="63">
        <v>1.44</v>
      </c>
      <c r="F239" s="63">
        <v>3.93</v>
      </c>
    </row>
    <row r="240" spans="1:6" x14ac:dyDescent="0.7">
      <c r="A240" s="4">
        <v>7579896</v>
      </c>
      <c r="B240" s="4" t="s">
        <v>387</v>
      </c>
      <c r="C240" s="4" t="s">
        <v>41</v>
      </c>
      <c r="D240" s="4" t="s">
        <v>55</v>
      </c>
      <c r="E240" s="63">
        <v>1.65</v>
      </c>
      <c r="F240" s="63">
        <v>2.12</v>
      </c>
    </row>
    <row r="241" spans="1:6" x14ac:dyDescent="0.7">
      <c r="A241" s="4">
        <v>3894232</v>
      </c>
      <c r="B241" s="4" t="s">
        <v>388</v>
      </c>
      <c r="C241" s="4" t="s">
        <v>41</v>
      </c>
      <c r="D241" s="4" t="s">
        <v>54</v>
      </c>
      <c r="E241" s="63">
        <v>1.79</v>
      </c>
      <c r="F241" s="63">
        <v>2.84</v>
      </c>
    </row>
    <row r="242" spans="1:6" x14ac:dyDescent="0.7">
      <c r="A242" s="4">
        <v>7641034</v>
      </c>
      <c r="B242" s="4" t="s">
        <v>263</v>
      </c>
      <c r="C242" s="4" t="s">
        <v>41</v>
      </c>
      <c r="D242" s="4" t="s">
        <v>54</v>
      </c>
      <c r="E242" s="63">
        <v>1.5</v>
      </c>
      <c r="F242" s="63">
        <v>2.35</v>
      </c>
    </row>
    <row r="243" spans="1:6" x14ac:dyDescent="0.7">
      <c r="A243" s="4">
        <v>2434370</v>
      </c>
      <c r="B243" s="4" t="s">
        <v>389</v>
      </c>
      <c r="C243" s="4" t="s">
        <v>41</v>
      </c>
      <c r="D243" s="4" t="s">
        <v>54</v>
      </c>
      <c r="E243" s="63">
        <v>1.62</v>
      </c>
      <c r="F243" s="63">
        <v>3.05</v>
      </c>
    </row>
    <row r="244" spans="1:6" x14ac:dyDescent="0.7">
      <c r="A244" s="4">
        <v>5011633</v>
      </c>
      <c r="B244" s="4" t="s">
        <v>390</v>
      </c>
      <c r="C244" s="4" t="s">
        <v>41</v>
      </c>
      <c r="D244" s="4" t="s">
        <v>54</v>
      </c>
      <c r="E244" s="63">
        <v>1.81</v>
      </c>
      <c r="F244" s="63">
        <v>2.16</v>
      </c>
    </row>
    <row r="245" spans="1:6" x14ac:dyDescent="0.7">
      <c r="A245" s="4">
        <v>6455110</v>
      </c>
      <c r="B245" s="4" t="s">
        <v>391</v>
      </c>
      <c r="C245" s="4" t="s">
        <v>41</v>
      </c>
      <c r="D245" s="4" t="s">
        <v>56</v>
      </c>
      <c r="E245" s="63">
        <v>2</v>
      </c>
      <c r="F245" s="63">
        <v>2.89</v>
      </c>
    </row>
    <row r="246" spans="1:6" x14ac:dyDescent="0.7">
      <c r="A246" s="4">
        <v>3252655</v>
      </c>
      <c r="B246" s="4" t="s">
        <v>392</v>
      </c>
      <c r="C246" s="4" t="s">
        <v>41</v>
      </c>
      <c r="D246" s="4" t="s">
        <v>56</v>
      </c>
      <c r="E246" s="63">
        <v>1.48</v>
      </c>
      <c r="F246" s="63">
        <v>2.21</v>
      </c>
    </row>
    <row r="247" spans="1:6" x14ac:dyDescent="0.7">
      <c r="A247" s="4">
        <v>7922516</v>
      </c>
      <c r="B247" s="4" t="s">
        <v>393</v>
      </c>
      <c r="C247" s="4" t="s">
        <v>41</v>
      </c>
      <c r="D247" s="4" t="s">
        <v>56</v>
      </c>
      <c r="E247" s="63">
        <v>1.66</v>
      </c>
      <c r="F247" s="63">
        <v>3.49</v>
      </c>
    </row>
    <row r="248" spans="1:6" x14ac:dyDescent="0.7">
      <c r="A248" s="4">
        <v>1464947</v>
      </c>
      <c r="B248" s="4" t="s">
        <v>394</v>
      </c>
      <c r="C248" s="4" t="s">
        <v>41</v>
      </c>
      <c r="D248" s="4" t="s">
        <v>56</v>
      </c>
      <c r="E248" s="63">
        <v>1.43</v>
      </c>
      <c r="F248" s="63">
        <v>2.87</v>
      </c>
    </row>
    <row r="249" spans="1:6" x14ac:dyDescent="0.7">
      <c r="A249" s="4">
        <v>6238443</v>
      </c>
      <c r="B249" s="4" t="s">
        <v>395</v>
      </c>
      <c r="C249" s="4" t="s">
        <v>41</v>
      </c>
      <c r="D249" s="4" t="s">
        <v>57</v>
      </c>
      <c r="E249" s="63">
        <v>1.86</v>
      </c>
      <c r="F249" s="63">
        <v>3.61</v>
      </c>
    </row>
    <row r="250" spans="1:6" x14ac:dyDescent="0.7">
      <c r="A250" s="4">
        <v>8807970</v>
      </c>
      <c r="B250" s="4" t="s">
        <v>396</v>
      </c>
      <c r="C250" s="4" t="s">
        <v>41</v>
      </c>
      <c r="D250" s="4" t="s">
        <v>57</v>
      </c>
      <c r="E250" s="63">
        <v>1.24</v>
      </c>
      <c r="F250" s="63">
        <v>3.7</v>
      </c>
    </row>
    <row r="251" spans="1:6" x14ac:dyDescent="0.7">
      <c r="A251" s="4">
        <v>9804438</v>
      </c>
      <c r="B251" s="4" t="s">
        <v>397</v>
      </c>
      <c r="C251" s="4" t="s">
        <v>41</v>
      </c>
      <c r="D251" s="4" t="s">
        <v>57</v>
      </c>
      <c r="E251" s="63">
        <v>1.96</v>
      </c>
      <c r="F251" s="63">
        <v>3.05</v>
      </c>
    </row>
    <row r="252" spans="1:6" x14ac:dyDescent="0.7">
      <c r="A252" s="4">
        <v>1442231</v>
      </c>
      <c r="B252" s="4" t="s">
        <v>398</v>
      </c>
      <c r="C252" s="4" t="s">
        <v>41</v>
      </c>
      <c r="D252" s="4" t="s">
        <v>57</v>
      </c>
      <c r="E252" s="63">
        <v>1.67</v>
      </c>
      <c r="F252" s="63">
        <v>3.97</v>
      </c>
    </row>
    <row r="253" spans="1:6" x14ac:dyDescent="0.7">
      <c r="A253" s="4">
        <v>8153850</v>
      </c>
      <c r="B253" s="4" t="s">
        <v>399</v>
      </c>
      <c r="C253" s="4" t="s">
        <v>41</v>
      </c>
      <c r="D253" s="4" t="s">
        <v>85</v>
      </c>
      <c r="E253" s="63">
        <v>1.29</v>
      </c>
      <c r="F253" s="63">
        <v>3.48</v>
      </c>
    </row>
    <row r="254" spans="1:6" x14ac:dyDescent="0.7">
      <c r="A254" s="4">
        <v>1874117</v>
      </c>
      <c r="B254" s="4" t="s">
        <v>400</v>
      </c>
      <c r="C254" s="4" t="s">
        <v>41</v>
      </c>
      <c r="D254" s="4" t="s">
        <v>85</v>
      </c>
      <c r="E254" s="63">
        <v>1.39</v>
      </c>
      <c r="F254" s="63">
        <v>2.71</v>
      </c>
    </row>
    <row r="255" spans="1:6" x14ac:dyDescent="0.7">
      <c r="A255" s="4">
        <v>5065473</v>
      </c>
      <c r="B255" s="4" t="s">
        <v>401</v>
      </c>
      <c r="C255" s="4" t="s">
        <v>41</v>
      </c>
      <c r="D255" s="4" t="s">
        <v>85</v>
      </c>
      <c r="E255" s="63">
        <v>1.57</v>
      </c>
      <c r="F255" s="63">
        <v>3.36</v>
      </c>
    </row>
    <row r="256" spans="1:6" x14ac:dyDescent="0.7">
      <c r="A256" s="4">
        <v>6274535</v>
      </c>
      <c r="B256" s="4" t="s">
        <v>402</v>
      </c>
      <c r="C256" s="4" t="s">
        <v>41</v>
      </c>
      <c r="D256" s="4" t="s">
        <v>85</v>
      </c>
      <c r="E256" s="63">
        <v>1.79</v>
      </c>
      <c r="F256" s="63">
        <v>3.64</v>
      </c>
    </row>
    <row r="257" spans="1:6" x14ac:dyDescent="0.7">
      <c r="A257" s="4">
        <v>1212302</v>
      </c>
      <c r="B257" s="4" t="s">
        <v>403</v>
      </c>
      <c r="C257" s="4" t="s">
        <v>41</v>
      </c>
      <c r="D257" s="4" t="s">
        <v>314</v>
      </c>
      <c r="E257" s="63">
        <v>1.22</v>
      </c>
      <c r="F257" s="63">
        <v>2.48</v>
      </c>
    </row>
    <row r="258" spans="1:6" x14ac:dyDescent="0.7">
      <c r="A258" s="4">
        <v>3483949</v>
      </c>
      <c r="B258" s="4" t="s">
        <v>148</v>
      </c>
      <c r="C258" s="4" t="s">
        <v>41</v>
      </c>
      <c r="D258" s="4" t="s">
        <v>314</v>
      </c>
      <c r="E258" s="63">
        <v>1.28</v>
      </c>
      <c r="F258" s="63">
        <v>3.99</v>
      </c>
    </row>
    <row r="259" spans="1:6" x14ac:dyDescent="0.7">
      <c r="A259" s="4">
        <v>3387090</v>
      </c>
      <c r="B259" s="4" t="s">
        <v>404</v>
      </c>
      <c r="C259" s="4" t="s">
        <v>41</v>
      </c>
      <c r="D259" s="4" t="s">
        <v>314</v>
      </c>
      <c r="E259" s="63">
        <v>1.08</v>
      </c>
      <c r="F259" s="63">
        <v>3.59</v>
      </c>
    </row>
    <row r="260" spans="1:6" x14ac:dyDescent="0.7">
      <c r="A260" s="4">
        <v>5513719</v>
      </c>
      <c r="B260" s="4" t="s">
        <v>405</v>
      </c>
      <c r="C260" s="4" t="s">
        <v>41</v>
      </c>
      <c r="D260" s="4" t="s">
        <v>314</v>
      </c>
      <c r="E260" s="63">
        <v>1.5</v>
      </c>
      <c r="F260" s="63">
        <v>2.12</v>
      </c>
    </row>
    <row r="261" spans="1:6" x14ac:dyDescent="0.7">
      <c r="A261" s="4">
        <v>4628693</v>
      </c>
      <c r="B261" s="4" t="s">
        <v>406</v>
      </c>
      <c r="C261" s="4" t="s">
        <v>41</v>
      </c>
      <c r="D261" s="4" t="s">
        <v>238</v>
      </c>
      <c r="E261" s="63">
        <v>1.61</v>
      </c>
      <c r="F261" s="63">
        <v>3.54</v>
      </c>
    </row>
    <row r="262" spans="1:6" x14ac:dyDescent="0.7">
      <c r="A262" s="4">
        <v>3151344</v>
      </c>
      <c r="B262" s="4" t="s">
        <v>407</v>
      </c>
      <c r="C262" s="4" t="s">
        <v>41</v>
      </c>
      <c r="D262" s="4" t="s">
        <v>238</v>
      </c>
      <c r="E262" s="63">
        <v>1.62</v>
      </c>
      <c r="F262" s="63">
        <v>3.58</v>
      </c>
    </row>
    <row r="263" spans="1:6" x14ac:dyDescent="0.7">
      <c r="A263" s="4">
        <v>4042727</v>
      </c>
      <c r="B263" s="4" t="s">
        <v>408</v>
      </c>
      <c r="C263" s="4" t="s">
        <v>41</v>
      </c>
      <c r="D263" s="4" t="s">
        <v>238</v>
      </c>
      <c r="E263" s="63">
        <v>1.8</v>
      </c>
      <c r="F263" s="63">
        <v>2</v>
      </c>
    </row>
    <row r="264" spans="1:6" x14ac:dyDescent="0.7">
      <c r="A264" s="4">
        <v>6777201</v>
      </c>
      <c r="B264" s="4" t="s">
        <v>409</v>
      </c>
      <c r="C264" s="4" t="s">
        <v>41</v>
      </c>
      <c r="D264" s="4" t="s">
        <v>238</v>
      </c>
      <c r="E264" s="63">
        <v>1.33</v>
      </c>
      <c r="F264" s="63">
        <v>2.93</v>
      </c>
    </row>
    <row r="265" spans="1:6" x14ac:dyDescent="0.7">
      <c r="A265" s="4">
        <v>8085820</v>
      </c>
      <c r="B265" s="4" t="s">
        <v>410</v>
      </c>
      <c r="C265" s="4" t="s">
        <v>41</v>
      </c>
      <c r="D265" s="4" t="s">
        <v>99</v>
      </c>
      <c r="E265" s="63">
        <v>1.95</v>
      </c>
      <c r="F265" s="63">
        <v>2.79</v>
      </c>
    </row>
    <row r="266" spans="1:6" x14ac:dyDescent="0.7">
      <c r="A266" s="4">
        <v>5785912</v>
      </c>
      <c r="B266" s="4" t="s">
        <v>411</v>
      </c>
      <c r="C266" s="4" t="s">
        <v>41</v>
      </c>
      <c r="D266" s="4" t="s">
        <v>99</v>
      </c>
      <c r="E266" s="63">
        <v>1.65</v>
      </c>
      <c r="F266" s="63">
        <v>3.22</v>
      </c>
    </row>
    <row r="267" spans="1:6" x14ac:dyDescent="0.7">
      <c r="A267" s="4">
        <v>6205194</v>
      </c>
      <c r="B267" s="4" t="s">
        <v>412</v>
      </c>
      <c r="C267" s="4" t="s">
        <v>41</v>
      </c>
      <c r="D267" s="4" t="s">
        <v>99</v>
      </c>
      <c r="E267" s="63">
        <v>1.42</v>
      </c>
      <c r="F267" s="63">
        <v>2.29</v>
      </c>
    </row>
    <row r="268" spans="1:6" x14ac:dyDescent="0.7">
      <c r="A268" s="4">
        <v>7271305</v>
      </c>
      <c r="B268" s="4" t="s">
        <v>413</v>
      </c>
      <c r="C268" s="4" t="s">
        <v>41</v>
      </c>
      <c r="D268" s="4" t="s">
        <v>99</v>
      </c>
      <c r="E268" s="63">
        <v>1</v>
      </c>
      <c r="F268" s="63">
        <v>3.21</v>
      </c>
    </row>
    <row r="269" spans="1:6" x14ac:dyDescent="0.7">
      <c r="A269" s="4">
        <v>8166224</v>
      </c>
      <c r="B269" s="4" t="s">
        <v>414</v>
      </c>
      <c r="C269" s="4" t="s">
        <v>41</v>
      </c>
      <c r="D269" s="4" t="s">
        <v>103</v>
      </c>
      <c r="E269" s="63">
        <v>1.07</v>
      </c>
      <c r="F269" s="63">
        <v>2.59</v>
      </c>
    </row>
    <row r="270" spans="1:6" x14ac:dyDescent="0.7">
      <c r="A270" s="4">
        <v>1932915</v>
      </c>
      <c r="B270" s="4" t="s">
        <v>415</v>
      </c>
      <c r="C270" s="4" t="s">
        <v>41</v>
      </c>
      <c r="D270" s="4" t="s">
        <v>103</v>
      </c>
      <c r="E270" s="63">
        <v>1.48</v>
      </c>
      <c r="F270" s="63">
        <v>3.94</v>
      </c>
    </row>
    <row r="271" spans="1:6" x14ac:dyDescent="0.7">
      <c r="A271" s="4">
        <v>5345383</v>
      </c>
      <c r="B271" s="4" t="s">
        <v>416</v>
      </c>
      <c r="C271" s="4" t="s">
        <v>41</v>
      </c>
      <c r="D271" s="4" t="s">
        <v>103</v>
      </c>
      <c r="E271" s="63">
        <v>1.42</v>
      </c>
      <c r="F271" s="63">
        <v>2.0499999999999998</v>
      </c>
    </row>
    <row r="272" spans="1:6" x14ac:dyDescent="0.7">
      <c r="A272" s="4">
        <v>2296468</v>
      </c>
      <c r="B272" s="62" t="s">
        <v>296</v>
      </c>
      <c r="C272" s="4" t="s">
        <v>41</v>
      </c>
      <c r="D272" s="4" t="s">
        <v>103</v>
      </c>
      <c r="E272" s="63">
        <v>1.93</v>
      </c>
      <c r="F272" s="63">
        <v>2.5499999999999998</v>
      </c>
    </row>
    <row r="273" spans="1:6" x14ac:dyDescent="0.7">
      <c r="A273" s="4">
        <v>4150902</v>
      </c>
      <c r="B273" s="4" t="s">
        <v>315</v>
      </c>
      <c r="C273" s="4" t="s">
        <v>42</v>
      </c>
      <c r="D273" s="4" t="s">
        <v>316</v>
      </c>
      <c r="E273" s="63">
        <v>2</v>
      </c>
      <c r="F273" s="63">
        <v>3.06</v>
      </c>
    </row>
    <row r="274" spans="1:6" x14ac:dyDescent="0.7">
      <c r="A274" s="4">
        <v>5007769</v>
      </c>
      <c r="B274" s="4" t="s">
        <v>317</v>
      </c>
      <c r="C274" s="4" t="s">
        <v>42</v>
      </c>
      <c r="D274" s="4" t="s">
        <v>316</v>
      </c>
      <c r="E274" s="63">
        <v>1.1399999999999999</v>
      </c>
      <c r="F274" s="63">
        <v>3.69</v>
      </c>
    </row>
    <row r="275" spans="1:6" x14ac:dyDescent="0.7">
      <c r="A275" s="4">
        <v>5275324</v>
      </c>
      <c r="B275" s="4" t="s">
        <v>318</v>
      </c>
      <c r="C275" s="4" t="s">
        <v>42</v>
      </c>
      <c r="D275" s="4" t="s">
        <v>316</v>
      </c>
      <c r="E275" s="63">
        <v>1.37</v>
      </c>
      <c r="F275" s="63">
        <v>2.8</v>
      </c>
    </row>
    <row r="276" spans="1:6" x14ac:dyDescent="0.7">
      <c r="A276" s="4">
        <v>5851129</v>
      </c>
      <c r="B276" s="4" t="s">
        <v>319</v>
      </c>
      <c r="C276" s="4" t="s">
        <v>42</v>
      </c>
      <c r="D276" s="4" t="s">
        <v>316</v>
      </c>
      <c r="E276" s="63">
        <v>1.6</v>
      </c>
      <c r="F276" s="63">
        <v>3.16</v>
      </c>
    </row>
    <row r="277" spans="1:6" x14ac:dyDescent="0.7">
      <c r="A277" s="4">
        <v>3204266</v>
      </c>
      <c r="B277" s="4" t="s">
        <v>320</v>
      </c>
      <c r="C277" s="4" t="s">
        <v>42</v>
      </c>
      <c r="D277" s="4" t="s">
        <v>316</v>
      </c>
      <c r="E277" s="63">
        <v>1.72</v>
      </c>
      <c r="F277" s="63">
        <v>2.81</v>
      </c>
    </row>
    <row r="278" spans="1:6" x14ac:dyDescent="0.7">
      <c r="A278" s="4">
        <v>6691288</v>
      </c>
      <c r="B278" s="4" t="s">
        <v>321</v>
      </c>
      <c r="C278" s="4" t="s">
        <v>42</v>
      </c>
      <c r="D278" s="4" t="s">
        <v>322</v>
      </c>
      <c r="E278" s="63">
        <v>1.01</v>
      </c>
      <c r="F278" s="63">
        <v>3.27</v>
      </c>
    </row>
    <row r="279" spans="1:6" x14ac:dyDescent="0.7">
      <c r="A279" s="4">
        <v>3306000</v>
      </c>
      <c r="B279" s="4" t="s">
        <v>323</v>
      </c>
      <c r="C279" s="4" t="s">
        <v>42</v>
      </c>
      <c r="D279" s="4" t="s">
        <v>322</v>
      </c>
      <c r="E279" s="63">
        <v>1.76</v>
      </c>
      <c r="F279" s="63">
        <v>3.43</v>
      </c>
    </row>
    <row r="280" spans="1:6" x14ac:dyDescent="0.7">
      <c r="A280" s="4">
        <v>6532274</v>
      </c>
      <c r="B280" s="4" t="s">
        <v>324</v>
      </c>
      <c r="C280" s="4" t="s">
        <v>42</v>
      </c>
      <c r="D280" s="4" t="s">
        <v>322</v>
      </c>
      <c r="E280" s="63">
        <v>1.45</v>
      </c>
      <c r="F280" s="63">
        <v>3.68</v>
      </c>
    </row>
    <row r="281" spans="1:6" x14ac:dyDescent="0.7">
      <c r="A281" s="4">
        <v>3720401</v>
      </c>
      <c r="B281" s="4" t="s">
        <v>325</v>
      </c>
      <c r="C281" s="4" t="s">
        <v>42</v>
      </c>
      <c r="D281" s="4" t="s">
        <v>322</v>
      </c>
      <c r="E281" s="63">
        <v>1.96</v>
      </c>
      <c r="F281" s="63">
        <v>2.39</v>
      </c>
    </row>
    <row r="282" spans="1:6" x14ac:dyDescent="0.7">
      <c r="A282" s="4">
        <v>1677663</v>
      </c>
      <c r="B282" s="4" t="s">
        <v>326</v>
      </c>
      <c r="C282" s="4" t="s">
        <v>42</v>
      </c>
      <c r="D282" s="4" t="s">
        <v>322</v>
      </c>
      <c r="E282" s="63">
        <v>1.22</v>
      </c>
      <c r="F282" s="63">
        <v>3.99</v>
      </c>
    </row>
    <row r="283" spans="1:6" x14ac:dyDescent="0.7">
      <c r="A283" s="4">
        <v>1726659</v>
      </c>
      <c r="B283" s="4" t="s">
        <v>327</v>
      </c>
      <c r="C283" s="4" t="s">
        <v>42</v>
      </c>
      <c r="D283" s="4" t="s">
        <v>328</v>
      </c>
      <c r="E283" s="63">
        <v>1.38</v>
      </c>
      <c r="F283" s="63">
        <v>2.2799999999999998</v>
      </c>
    </row>
    <row r="284" spans="1:6" x14ac:dyDescent="0.7">
      <c r="A284" s="4">
        <v>5237990</v>
      </c>
      <c r="B284" s="4" t="s">
        <v>329</v>
      </c>
      <c r="C284" s="4" t="s">
        <v>42</v>
      </c>
      <c r="D284" s="4" t="s">
        <v>328</v>
      </c>
      <c r="E284" s="63">
        <v>1.5</v>
      </c>
      <c r="F284" s="63">
        <v>3.66</v>
      </c>
    </row>
    <row r="285" spans="1:6" x14ac:dyDescent="0.7">
      <c r="A285" s="4">
        <v>1151989</v>
      </c>
      <c r="B285" s="4" t="s">
        <v>330</v>
      </c>
      <c r="C285" s="4" t="s">
        <v>42</v>
      </c>
      <c r="D285" s="4" t="s">
        <v>328</v>
      </c>
      <c r="E285" s="63">
        <v>1.84</v>
      </c>
      <c r="F285" s="63">
        <v>3.59</v>
      </c>
    </row>
    <row r="286" spans="1:6" x14ac:dyDescent="0.7">
      <c r="A286" s="4">
        <v>2005318</v>
      </c>
      <c r="B286" s="4" t="s">
        <v>331</v>
      </c>
      <c r="C286" s="4" t="s">
        <v>42</v>
      </c>
      <c r="D286" s="4" t="s">
        <v>328</v>
      </c>
      <c r="E286" s="63">
        <v>1.46</v>
      </c>
      <c r="F286" s="63">
        <v>3.4</v>
      </c>
    </row>
    <row r="287" spans="1:6" x14ac:dyDescent="0.7">
      <c r="A287" s="4">
        <v>3999791</v>
      </c>
      <c r="B287" s="4" t="s">
        <v>417</v>
      </c>
      <c r="C287" s="4" t="s">
        <v>42</v>
      </c>
      <c r="D287" s="4" t="s">
        <v>418</v>
      </c>
      <c r="E287" s="63">
        <v>1.35</v>
      </c>
      <c r="F287" s="63">
        <v>2.46</v>
      </c>
    </row>
    <row r="288" spans="1:6" x14ac:dyDescent="0.7">
      <c r="A288" s="4">
        <v>6960282</v>
      </c>
      <c r="B288" s="4" t="s">
        <v>80</v>
      </c>
      <c r="C288" s="4" t="s">
        <v>42</v>
      </c>
      <c r="D288" s="4" t="s">
        <v>418</v>
      </c>
      <c r="E288" s="63">
        <v>1.31</v>
      </c>
      <c r="F288" s="63">
        <v>3.52</v>
      </c>
    </row>
    <row r="289" spans="1:6" x14ac:dyDescent="0.7">
      <c r="A289" s="4">
        <v>1254231</v>
      </c>
      <c r="B289" s="4" t="s">
        <v>419</v>
      </c>
      <c r="C289" s="4" t="s">
        <v>42</v>
      </c>
      <c r="D289" s="4" t="s">
        <v>418</v>
      </c>
      <c r="E289" s="63">
        <v>1.18</v>
      </c>
      <c r="F289" s="63">
        <v>2.96</v>
      </c>
    </row>
    <row r="290" spans="1:6" x14ac:dyDescent="0.7">
      <c r="A290" s="4">
        <v>8583814</v>
      </c>
      <c r="B290" s="4" t="s">
        <v>420</v>
      </c>
      <c r="C290" s="4" t="s">
        <v>42</v>
      </c>
      <c r="D290" s="4" t="s">
        <v>418</v>
      </c>
      <c r="E290" s="63">
        <v>1.03</v>
      </c>
      <c r="F290" s="63">
        <v>3.99</v>
      </c>
    </row>
    <row r="291" spans="1:6" x14ac:dyDescent="0.7">
      <c r="A291" s="4">
        <v>4386649</v>
      </c>
      <c r="B291" s="4" t="s">
        <v>12</v>
      </c>
      <c r="C291" s="4" t="s">
        <v>42</v>
      </c>
      <c r="D291" s="4" t="s">
        <v>421</v>
      </c>
      <c r="E291" s="63">
        <v>1.91</v>
      </c>
      <c r="F291" s="63">
        <v>3.45</v>
      </c>
    </row>
    <row r="292" spans="1:6" x14ac:dyDescent="0.7">
      <c r="A292" s="4">
        <v>5503061</v>
      </c>
      <c r="B292" s="4" t="s">
        <v>422</v>
      </c>
      <c r="C292" s="4" t="s">
        <v>42</v>
      </c>
      <c r="D292" s="4" t="s">
        <v>421</v>
      </c>
      <c r="E292" s="63">
        <v>1.57</v>
      </c>
      <c r="F292" s="63">
        <v>2.2000000000000002</v>
      </c>
    </row>
    <row r="293" spans="1:6" x14ac:dyDescent="0.7">
      <c r="A293" s="4">
        <v>2117709</v>
      </c>
      <c r="B293" s="4" t="s">
        <v>423</v>
      </c>
      <c r="C293" s="4" t="s">
        <v>42</v>
      </c>
      <c r="D293" s="4" t="s">
        <v>421</v>
      </c>
      <c r="E293" s="63">
        <v>1.69</v>
      </c>
      <c r="F293" s="63">
        <v>3.77</v>
      </c>
    </row>
    <row r="294" spans="1:6" x14ac:dyDescent="0.7">
      <c r="A294" s="4">
        <v>6408827</v>
      </c>
      <c r="B294" s="4" t="s">
        <v>424</v>
      </c>
      <c r="C294" s="4" t="s">
        <v>42</v>
      </c>
      <c r="D294" s="4" t="s">
        <v>421</v>
      </c>
      <c r="E294" s="63">
        <v>1.44</v>
      </c>
      <c r="F294" s="63">
        <v>3.46</v>
      </c>
    </row>
    <row r="295" spans="1:6" x14ac:dyDescent="0.7">
      <c r="A295" s="4">
        <v>4477523</v>
      </c>
      <c r="B295" s="4" t="s">
        <v>425</v>
      </c>
      <c r="C295" s="4" t="s">
        <v>42</v>
      </c>
      <c r="D295" s="4" t="s">
        <v>421</v>
      </c>
      <c r="E295" s="63">
        <v>1.88</v>
      </c>
      <c r="F295" s="63">
        <v>3.85</v>
      </c>
    </row>
    <row r="296" spans="1:6" x14ac:dyDescent="0.7">
      <c r="A296" s="4">
        <v>6171730</v>
      </c>
      <c r="B296" s="4" t="s">
        <v>73</v>
      </c>
      <c r="C296" s="4" t="s">
        <v>42</v>
      </c>
      <c r="D296" s="4" t="s">
        <v>426</v>
      </c>
      <c r="E296" s="63">
        <v>1.95</v>
      </c>
      <c r="F296" s="63">
        <v>2.5299999999999998</v>
      </c>
    </row>
    <row r="297" spans="1:6" x14ac:dyDescent="0.7">
      <c r="A297" s="4">
        <v>8654750</v>
      </c>
      <c r="B297" s="4" t="s">
        <v>427</v>
      </c>
      <c r="C297" s="4" t="s">
        <v>42</v>
      </c>
      <c r="D297" s="4" t="s">
        <v>426</v>
      </c>
      <c r="E297" s="63">
        <v>1.23</v>
      </c>
      <c r="F297" s="63">
        <v>2.67</v>
      </c>
    </row>
    <row r="298" spans="1:6" x14ac:dyDescent="0.7">
      <c r="A298" s="4">
        <v>4156561</v>
      </c>
      <c r="B298" s="4" t="s">
        <v>428</v>
      </c>
      <c r="C298" s="4" t="s">
        <v>42</v>
      </c>
      <c r="D298" s="4" t="s">
        <v>426</v>
      </c>
      <c r="E298" s="63">
        <v>1.87</v>
      </c>
      <c r="F298" s="63">
        <v>2.66</v>
      </c>
    </row>
    <row r="299" spans="1:6" x14ac:dyDescent="0.7">
      <c r="A299" s="4">
        <v>6969085</v>
      </c>
      <c r="B299" s="4" t="s">
        <v>429</v>
      </c>
      <c r="C299" s="4" t="s">
        <v>42</v>
      </c>
      <c r="D299" s="4" t="s">
        <v>426</v>
      </c>
      <c r="E299" s="63">
        <v>1.92</v>
      </c>
      <c r="F299" s="63">
        <v>3.13</v>
      </c>
    </row>
    <row r="300" spans="1:6" x14ac:dyDescent="0.7">
      <c r="A300" s="4">
        <v>1714937</v>
      </c>
      <c r="B300" s="4" t="s">
        <v>430</v>
      </c>
      <c r="C300" s="4" t="s">
        <v>42</v>
      </c>
      <c r="D300" s="4" t="s">
        <v>431</v>
      </c>
      <c r="E300" s="63">
        <v>1.28</v>
      </c>
      <c r="F300" s="63">
        <v>3.71</v>
      </c>
    </row>
    <row r="301" spans="1:6" x14ac:dyDescent="0.7">
      <c r="A301" s="4">
        <v>3316995</v>
      </c>
      <c r="B301" s="4" t="s">
        <v>432</v>
      </c>
      <c r="C301" s="4" t="s">
        <v>42</v>
      </c>
      <c r="D301" s="4" t="s">
        <v>431</v>
      </c>
      <c r="E301" s="63">
        <v>1.44</v>
      </c>
      <c r="F301" s="63">
        <v>2.5099999999999998</v>
      </c>
    </row>
    <row r="302" spans="1:6" x14ac:dyDescent="0.7">
      <c r="A302" s="4">
        <v>5126555</v>
      </c>
      <c r="B302" s="4" t="s">
        <v>433</v>
      </c>
      <c r="C302" s="4" t="s">
        <v>42</v>
      </c>
      <c r="D302" s="4" t="s">
        <v>431</v>
      </c>
      <c r="E302" s="63">
        <v>1.29</v>
      </c>
      <c r="F302" s="63">
        <v>2.4700000000000002</v>
      </c>
    </row>
    <row r="303" spans="1:6" x14ac:dyDescent="0.7">
      <c r="A303" s="4">
        <v>9853767</v>
      </c>
      <c r="B303" s="4" t="s">
        <v>434</v>
      </c>
      <c r="C303" s="4" t="s">
        <v>42</v>
      </c>
      <c r="D303" s="4" t="s">
        <v>431</v>
      </c>
      <c r="E303" s="63">
        <v>1.1499999999999999</v>
      </c>
      <c r="F303" s="63">
        <v>2.5099999999999998</v>
      </c>
    </row>
    <row r="304" spans="1:6" x14ac:dyDescent="0.7">
      <c r="A304" s="4">
        <v>1666494</v>
      </c>
      <c r="B304" s="4" t="s">
        <v>435</v>
      </c>
      <c r="C304" s="4" t="s">
        <v>42</v>
      </c>
      <c r="D304" s="4" t="s">
        <v>431</v>
      </c>
      <c r="E304" s="63">
        <v>1.5</v>
      </c>
      <c r="F304" s="63">
        <v>3.65</v>
      </c>
    </row>
    <row r="305" spans="1:6" x14ac:dyDescent="0.7">
      <c r="A305" s="4">
        <v>7912147</v>
      </c>
      <c r="B305" s="4" t="s">
        <v>436</v>
      </c>
      <c r="C305" s="4" t="s">
        <v>42</v>
      </c>
      <c r="D305" s="4" t="s">
        <v>437</v>
      </c>
      <c r="E305" s="63">
        <v>1.42</v>
      </c>
      <c r="F305" s="63">
        <v>2.94</v>
      </c>
    </row>
    <row r="306" spans="1:6" x14ac:dyDescent="0.7">
      <c r="A306" s="4">
        <v>2298298</v>
      </c>
      <c r="B306" s="4" t="s">
        <v>89</v>
      </c>
      <c r="C306" s="4" t="s">
        <v>42</v>
      </c>
      <c r="D306" s="4" t="s">
        <v>437</v>
      </c>
      <c r="E306" s="63">
        <v>1.32</v>
      </c>
      <c r="F306" s="63">
        <v>3.74</v>
      </c>
    </row>
    <row r="307" spans="1:6" x14ac:dyDescent="0.7">
      <c r="A307" s="4">
        <v>2551665</v>
      </c>
      <c r="B307" s="4" t="s">
        <v>438</v>
      </c>
      <c r="C307" s="4" t="s">
        <v>42</v>
      </c>
      <c r="D307" s="4" t="s">
        <v>437</v>
      </c>
      <c r="E307" s="63">
        <v>1.73</v>
      </c>
      <c r="F307" s="63">
        <v>2.82</v>
      </c>
    </row>
    <row r="308" spans="1:6" x14ac:dyDescent="0.7">
      <c r="A308" s="4">
        <v>5978794</v>
      </c>
      <c r="B308" s="4" t="s">
        <v>439</v>
      </c>
      <c r="C308" s="4" t="s">
        <v>42</v>
      </c>
      <c r="D308" s="4" t="s">
        <v>437</v>
      </c>
      <c r="E308" s="63">
        <v>1.27</v>
      </c>
      <c r="F308" s="63">
        <v>2.91</v>
      </c>
    </row>
    <row r="309" spans="1:6" x14ac:dyDescent="0.7">
      <c r="A309" s="4">
        <v>2020875</v>
      </c>
      <c r="B309" s="4" t="s">
        <v>440</v>
      </c>
      <c r="C309" s="4" t="s">
        <v>42</v>
      </c>
      <c r="D309" s="4" t="s">
        <v>441</v>
      </c>
      <c r="E309" s="63">
        <v>1.87</v>
      </c>
      <c r="F309" s="63">
        <v>3.04</v>
      </c>
    </row>
    <row r="310" spans="1:6" x14ac:dyDescent="0.7">
      <c r="A310" s="4">
        <v>7221060</v>
      </c>
      <c r="B310" s="4" t="s">
        <v>442</v>
      </c>
      <c r="C310" s="4" t="s">
        <v>42</v>
      </c>
      <c r="D310" s="4" t="s">
        <v>441</v>
      </c>
      <c r="E310" s="63">
        <v>1.76</v>
      </c>
      <c r="F310" s="63">
        <v>2.46</v>
      </c>
    </row>
    <row r="311" spans="1:6" x14ac:dyDescent="0.7">
      <c r="A311" s="4">
        <v>8092039</v>
      </c>
      <c r="B311" s="4" t="s">
        <v>443</v>
      </c>
      <c r="C311" s="4" t="s">
        <v>42</v>
      </c>
      <c r="D311" s="4" t="s">
        <v>441</v>
      </c>
      <c r="E311" s="63">
        <v>1.8</v>
      </c>
      <c r="F311" s="63">
        <v>3.29</v>
      </c>
    </row>
    <row r="312" spans="1:6" x14ac:dyDescent="0.7">
      <c r="A312" s="4">
        <v>8186763</v>
      </c>
      <c r="B312" s="4" t="s">
        <v>444</v>
      </c>
      <c r="C312" s="4" t="s">
        <v>42</v>
      </c>
      <c r="D312" s="4" t="s">
        <v>441</v>
      </c>
      <c r="E312" s="63">
        <v>1.91</v>
      </c>
      <c r="F312" s="63">
        <v>2.86</v>
      </c>
    </row>
    <row r="313" spans="1:6" x14ac:dyDescent="0.7">
      <c r="A313" s="4">
        <v>5282427</v>
      </c>
      <c r="B313" s="4" t="s">
        <v>104</v>
      </c>
      <c r="C313" s="4" t="s">
        <v>42</v>
      </c>
      <c r="D313" s="4" t="s">
        <v>441</v>
      </c>
      <c r="E313" s="63">
        <v>1.1100000000000001</v>
      </c>
      <c r="F313" s="63">
        <v>2.92</v>
      </c>
    </row>
    <row r="314" spans="1:6" x14ac:dyDescent="0.7">
      <c r="A314" s="4">
        <v>2473829</v>
      </c>
      <c r="B314" s="4" t="s">
        <v>445</v>
      </c>
      <c r="C314" s="4" t="s">
        <v>42</v>
      </c>
      <c r="D314" s="4" t="s">
        <v>446</v>
      </c>
      <c r="E314" s="63">
        <v>1.41</v>
      </c>
      <c r="F314" s="63">
        <v>2.2000000000000002</v>
      </c>
    </row>
    <row r="315" spans="1:6" x14ac:dyDescent="0.7">
      <c r="A315" s="4">
        <v>3596416</v>
      </c>
      <c r="B315" s="4" t="s">
        <v>447</v>
      </c>
      <c r="C315" s="4" t="s">
        <v>42</v>
      </c>
      <c r="D315" s="4" t="s">
        <v>446</v>
      </c>
      <c r="E315" s="63">
        <v>1.69</v>
      </c>
      <c r="F315" s="63">
        <v>2.11</v>
      </c>
    </row>
    <row r="316" spans="1:6" x14ac:dyDescent="0.7">
      <c r="A316" s="4">
        <v>7628640</v>
      </c>
      <c r="B316" s="4" t="s">
        <v>448</v>
      </c>
      <c r="C316" s="4" t="s">
        <v>42</v>
      </c>
      <c r="D316" s="4" t="s">
        <v>446</v>
      </c>
      <c r="E316" s="63">
        <v>1.56</v>
      </c>
      <c r="F316" s="63">
        <v>3.44</v>
      </c>
    </row>
    <row r="317" spans="1:6" x14ac:dyDescent="0.7">
      <c r="A317" s="4">
        <v>4036628</v>
      </c>
      <c r="B317" s="4" t="s">
        <v>449</v>
      </c>
      <c r="C317" s="4" t="s">
        <v>42</v>
      </c>
      <c r="D317" s="4" t="s">
        <v>446</v>
      </c>
      <c r="E317" s="63">
        <v>1.03</v>
      </c>
      <c r="F317" s="63">
        <v>3.71</v>
      </c>
    </row>
    <row r="318" spans="1:6" x14ac:dyDescent="0.7">
      <c r="A318" s="4">
        <v>7647468</v>
      </c>
      <c r="B318" s="4" t="s">
        <v>450</v>
      </c>
      <c r="C318" s="4" t="s">
        <v>42</v>
      </c>
      <c r="D318" s="4" t="s">
        <v>451</v>
      </c>
      <c r="E318" s="63">
        <v>1.21</v>
      </c>
      <c r="F318" s="63">
        <v>3.76</v>
      </c>
    </row>
    <row r="319" spans="1:6" x14ac:dyDescent="0.7">
      <c r="A319" s="4">
        <v>1918573</v>
      </c>
      <c r="B319" s="4" t="s">
        <v>96</v>
      </c>
      <c r="C319" s="4" t="s">
        <v>42</v>
      </c>
      <c r="D319" s="4" t="s">
        <v>451</v>
      </c>
      <c r="E319" s="63">
        <v>1.63</v>
      </c>
      <c r="F319" s="63">
        <v>3.39</v>
      </c>
    </row>
    <row r="320" spans="1:6" x14ac:dyDescent="0.7">
      <c r="A320" s="4">
        <v>7789834</v>
      </c>
      <c r="B320" s="4" t="s">
        <v>452</v>
      </c>
      <c r="C320" s="4" t="s">
        <v>42</v>
      </c>
      <c r="D320" s="4" t="s">
        <v>451</v>
      </c>
      <c r="E320" s="63">
        <v>1.41</v>
      </c>
      <c r="F320" s="63">
        <v>2.59</v>
      </c>
    </row>
    <row r="321" spans="1:6" x14ac:dyDescent="0.7">
      <c r="A321" s="4">
        <v>7122002</v>
      </c>
      <c r="B321" s="4" t="s">
        <v>453</v>
      </c>
      <c r="C321" s="4" t="s">
        <v>42</v>
      </c>
      <c r="D321" s="4" t="s">
        <v>451</v>
      </c>
      <c r="E321" s="63">
        <v>1.5</v>
      </c>
      <c r="F321" s="63">
        <v>2.23</v>
      </c>
    </row>
    <row r="322" spans="1:6" x14ac:dyDescent="0.7">
      <c r="A322" s="4">
        <v>2138100</v>
      </c>
      <c r="B322" s="4" t="s">
        <v>454</v>
      </c>
      <c r="C322" s="4" t="s">
        <v>42</v>
      </c>
      <c r="D322" s="4" t="s">
        <v>455</v>
      </c>
      <c r="E322" s="63">
        <v>1.1100000000000001</v>
      </c>
      <c r="F322" s="63">
        <v>2.56</v>
      </c>
    </row>
    <row r="323" spans="1:6" x14ac:dyDescent="0.7">
      <c r="A323" s="4">
        <v>1651988</v>
      </c>
      <c r="B323" s="4" t="s">
        <v>456</v>
      </c>
      <c r="C323" s="4" t="s">
        <v>42</v>
      </c>
      <c r="D323" s="4" t="s">
        <v>455</v>
      </c>
      <c r="E323" s="63">
        <v>1.34</v>
      </c>
      <c r="F323" s="63">
        <v>3.26</v>
      </c>
    </row>
    <row r="324" spans="1:6" x14ac:dyDescent="0.7">
      <c r="A324" s="4">
        <v>1938526</v>
      </c>
      <c r="B324" s="4" t="s">
        <v>457</v>
      </c>
      <c r="C324" s="4" t="s">
        <v>42</v>
      </c>
      <c r="D324" s="4" t="s">
        <v>455</v>
      </c>
      <c r="E324" s="63">
        <v>1.79</v>
      </c>
      <c r="F324" s="63">
        <v>2.27</v>
      </c>
    </row>
    <row r="325" spans="1:6" x14ac:dyDescent="0.7">
      <c r="A325" s="4">
        <v>5031375</v>
      </c>
      <c r="B325" s="4" t="s">
        <v>458</v>
      </c>
      <c r="C325" s="4" t="s">
        <v>42</v>
      </c>
      <c r="D325" s="4" t="s">
        <v>455</v>
      </c>
      <c r="E325" s="63">
        <v>1.47</v>
      </c>
      <c r="F325" s="63">
        <v>3.03</v>
      </c>
    </row>
    <row r="326" spans="1:6" x14ac:dyDescent="0.7">
      <c r="A326" s="4">
        <v>1744864</v>
      </c>
      <c r="B326" s="4" t="s">
        <v>475</v>
      </c>
      <c r="C326" s="4" t="s">
        <v>37</v>
      </c>
      <c r="D326" s="4" t="s">
        <v>43</v>
      </c>
      <c r="E326" s="63">
        <v>1.41</v>
      </c>
      <c r="F326" s="63">
        <v>4</v>
      </c>
    </row>
    <row r="327" spans="1:6" x14ac:dyDescent="0.7">
      <c r="A327" s="4">
        <v>4613571</v>
      </c>
      <c r="B327" s="4" t="s">
        <v>476</v>
      </c>
      <c r="C327" s="4" t="s">
        <v>37</v>
      </c>
      <c r="D327" s="4" t="s">
        <v>43</v>
      </c>
      <c r="E327" s="63">
        <v>1.19</v>
      </c>
      <c r="F327" s="63">
        <v>3.38</v>
      </c>
    </row>
    <row r="328" spans="1:6" x14ac:dyDescent="0.7">
      <c r="A328" s="4">
        <v>4764241</v>
      </c>
      <c r="B328" s="4" t="s">
        <v>477</v>
      </c>
      <c r="C328" s="4" t="s">
        <v>37</v>
      </c>
      <c r="D328" s="4" t="s">
        <v>43</v>
      </c>
      <c r="E328" s="63">
        <v>1.47</v>
      </c>
      <c r="F328" s="63">
        <v>2.0499999999999998</v>
      </c>
    </row>
    <row r="329" spans="1:6" x14ac:dyDescent="0.7">
      <c r="A329" s="4">
        <v>9910370</v>
      </c>
      <c r="B329" s="4" t="s">
        <v>478</v>
      </c>
      <c r="C329" s="4" t="s">
        <v>37</v>
      </c>
      <c r="D329" s="4" t="s">
        <v>43</v>
      </c>
      <c r="E329" s="63">
        <v>1.54</v>
      </c>
      <c r="F329" s="63">
        <v>2.62</v>
      </c>
    </row>
    <row r="330" spans="1:6" x14ac:dyDescent="0.7">
      <c r="A330" s="4">
        <v>3202786</v>
      </c>
      <c r="B330" s="4" t="s">
        <v>479</v>
      </c>
      <c r="C330" s="4" t="s">
        <v>37</v>
      </c>
      <c r="D330" s="4" t="s">
        <v>44</v>
      </c>
      <c r="E330" s="63">
        <v>1.1200000000000001</v>
      </c>
      <c r="F330" s="63">
        <v>3.81</v>
      </c>
    </row>
    <row r="331" spans="1:6" x14ac:dyDescent="0.7">
      <c r="A331" s="4">
        <v>5045489</v>
      </c>
      <c r="B331" s="4" t="s">
        <v>480</v>
      </c>
      <c r="C331" s="4" t="s">
        <v>37</v>
      </c>
      <c r="D331" s="4" t="s">
        <v>44</v>
      </c>
      <c r="E331" s="63">
        <v>1.45</v>
      </c>
      <c r="F331" s="63">
        <v>3.89</v>
      </c>
    </row>
    <row r="332" spans="1:6" x14ac:dyDescent="0.7">
      <c r="A332" s="4">
        <v>3368625</v>
      </c>
      <c r="B332" s="4" t="s">
        <v>481</v>
      </c>
      <c r="C332" s="4" t="s">
        <v>37</v>
      </c>
      <c r="D332" s="4" t="s">
        <v>44</v>
      </c>
      <c r="E332" s="63">
        <v>1.69</v>
      </c>
      <c r="F332" s="63">
        <v>2.0499999999999998</v>
      </c>
    </row>
    <row r="333" spans="1:6" x14ac:dyDescent="0.7">
      <c r="A333" s="4">
        <v>3449468</v>
      </c>
      <c r="B333" s="4" t="s">
        <v>482</v>
      </c>
      <c r="C333" s="4" t="s">
        <v>37</v>
      </c>
      <c r="D333" s="4" t="s">
        <v>44</v>
      </c>
      <c r="E333" s="63">
        <v>1.03</v>
      </c>
      <c r="F333" s="63">
        <v>2.74</v>
      </c>
    </row>
    <row r="334" spans="1:6" x14ac:dyDescent="0.7">
      <c r="A334" s="4">
        <v>7733180</v>
      </c>
      <c r="B334" s="4" t="s">
        <v>483</v>
      </c>
      <c r="C334" s="4" t="s">
        <v>37</v>
      </c>
      <c r="D334" s="4" t="s">
        <v>45</v>
      </c>
      <c r="E334" s="63">
        <v>1.56</v>
      </c>
      <c r="F334" s="63">
        <v>2.88</v>
      </c>
    </row>
    <row r="335" spans="1:6" x14ac:dyDescent="0.7">
      <c r="A335" s="4">
        <v>7856443</v>
      </c>
      <c r="B335" s="4" t="s">
        <v>484</v>
      </c>
      <c r="C335" s="4" t="s">
        <v>37</v>
      </c>
      <c r="D335" s="4" t="s">
        <v>45</v>
      </c>
      <c r="E335" s="63">
        <v>1.56</v>
      </c>
      <c r="F335" s="63">
        <v>3.49</v>
      </c>
    </row>
    <row r="336" spans="1:6" x14ac:dyDescent="0.7">
      <c r="A336" s="4">
        <v>8738407</v>
      </c>
      <c r="B336" s="4" t="s">
        <v>485</v>
      </c>
      <c r="C336" s="4" t="s">
        <v>37</v>
      </c>
      <c r="D336" s="4" t="s">
        <v>45</v>
      </c>
      <c r="E336" s="63">
        <v>1.1100000000000001</v>
      </c>
      <c r="F336" s="63">
        <v>3.13</v>
      </c>
    </row>
    <row r="337" spans="1:6" x14ac:dyDescent="0.7">
      <c r="A337" s="4">
        <v>4626403</v>
      </c>
      <c r="B337" s="4" t="s">
        <v>486</v>
      </c>
      <c r="C337" s="4" t="s">
        <v>37</v>
      </c>
      <c r="D337" s="4" t="s">
        <v>45</v>
      </c>
      <c r="E337" s="63">
        <v>1.7</v>
      </c>
      <c r="F337" s="63">
        <v>2.95</v>
      </c>
    </row>
    <row r="338" spans="1:6" x14ac:dyDescent="0.7">
      <c r="A338" s="4">
        <v>2687086</v>
      </c>
      <c r="B338" s="4" t="s">
        <v>487</v>
      </c>
      <c r="C338" s="4" t="s">
        <v>37</v>
      </c>
      <c r="D338" s="4" t="s">
        <v>46</v>
      </c>
      <c r="E338" s="63">
        <v>1.63</v>
      </c>
      <c r="F338" s="63">
        <v>2.4</v>
      </c>
    </row>
    <row r="339" spans="1:6" x14ac:dyDescent="0.7">
      <c r="A339" s="4">
        <v>4158116</v>
      </c>
      <c r="B339" s="4" t="s">
        <v>488</v>
      </c>
      <c r="C339" s="4" t="s">
        <v>37</v>
      </c>
      <c r="D339" s="4" t="s">
        <v>46</v>
      </c>
      <c r="E339" s="63">
        <v>1.83</v>
      </c>
      <c r="F339" s="63">
        <v>3.59</v>
      </c>
    </row>
    <row r="340" spans="1:6" x14ac:dyDescent="0.7">
      <c r="A340" s="4">
        <v>3432292</v>
      </c>
      <c r="B340" s="4" t="s">
        <v>489</v>
      </c>
      <c r="C340" s="4" t="s">
        <v>37</v>
      </c>
      <c r="D340" s="4" t="s">
        <v>46</v>
      </c>
      <c r="E340" s="63">
        <v>1.17</v>
      </c>
      <c r="F340" s="63">
        <v>2.33</v>
      </c>
    </row>
    <row r="341" spans="1:6" x14ac:dyDescent="0.7">
      <c r="A341" s="4">
        <v>6694361</v>
      </c>
      <c r="B341" s="4" t="s">
        <v>490</v>
      </c>
      <c r="C341" s="4" t="s">
        <v>37</v>
      </c>
      <c r="D341" s="4" t="s">
        <v>46</v>
      </c>
      <c r="E341" s="63">
        <v>1.0900000000000001</v>
      </c>
      <c r="F341" s="63">
        <v>3.49</v>
      </c>
    </row>
    <row r="342" spans="1:6" x14ac:dyDescent="0.7">
      <c r="A342" s="4">
        <v>9850117</v>
      </c>
      <c r="B342" s="4" t="s">
        <v>491</v>
      </c>
      <c r="C342" s="4" t="s">
        <v>37</v>
      </c>
      <c r="D342" s="4" t="s">
        <v>77</v>
      </c>
      <c r="E342" s="63">
        <v>1.2</v>
      </c>
      <c r="F342" s="63">
        <v>3.49</v>
      </c>
    </row>
    <row r="343" spans="1:6" x14ac:dyDescent="0.7">
      <c r="A343" s="4">
        <v>4977948</v>
      </c>
      <c r="B343" s="4" t="s">
        <v>492</v>
      </c>
      <c r="C343" s="4" t="s">
        <v>37</v>
      </c>
      <c r="D343" s="4" t="s">
        <v>77</v>
      </c>
      <c r="E343" s="63">
        <v>1.72</v>
      </c>
      <c r="F343" s="63">
        <v>3.15</v>
      </c>
    </row>
    <row r="344" spans="1:6" x14ac:dyDescent="0.7">
      <c r="A344" s="4">
        <v>6567861</v>
      </c>
      <c r="B344" s="4" t="s">
        <v>493</v>
      </c>
      <c r="C344" s="4" t="s">
        <v>37</v>
      </c>
      <c r="D344" s="4" t="s">
        <v>77</v>
      </c>
      <c r="E344" s="63">
        <v>1.1299999999999999</v>
      </c>
      <c r="F344" s="63">
        <v>2.5</v>
      </c>
    </row>
    <row r="345" spans="1:6" x14ac:dyDescent="0.7">
      <c r="A345" s="4">
        <v>7178577</v>
      </c>
      <c r="B345" s="4" t="s">
        <v>494</v>
      </c>
      <c r="C345" s="4" t="s">
        <v>37</v>
      </c>
      <c r="D345" s="4" t="s">
        <v>77</v>
      </c>
      <c r="E345" s="63">
        <v>1.08</v>
      </c>
      <c r="F345" s="63">
        <v>2.06</v>
      </c>
    </row>
    <row r="346" spans="1:6" x14ac:dyDescent="0.7">
      <c r="A346" s="4">
        <v>7919123</v>
      </c>
      <c r="B346" s="4" t="s">
        <v>495</v>
      </c>
      <c r="C346" s="4" t="s">
        <v>37</v>
      </c>
      <c r="D346" s="4" t="s">
        <v>138</v>
      </c>
      <c r="E346" s="63">
        <v>1.67</v>
      </c>
      <c r="F346" s="63">
        <v>2.08</v>
      </c>
    </row>
    <row r="347" spans="1:6" x14ac:dyDescent="0.7">
      <c r="A347" s="4">
        <v>5324569</v>
      </c>
      <c r="B347" s="4" t="s">
        <v>496</v>
      </c>
      <c r="C347" s="4" t="s">
        <v>37</v>
      </c>
      <c r="D347" s="4" t="s">
        <v>138</v>
      </c>
      <c r="E347" s="63">
        <v>1.23</v>
      </c>
      <c r="F347" s="63">
        <v>3.43</v>
      </c>
    </row>
    <row r="348" spans="1:6" x14ac:dyDescent="0.7">
      <c r="A348" s="4">
        <v>9669792</v>
      </c>
      <c r="B348" s="4" t="s">
        <v>497</v>
      </c>
      <c r="C348" s="4" t="s">
        <v>37</v>
      </c>
      <c r="D348" s="4" t="s">
        <v>138</v>
      </c>
      <c r="E348" s="63">
        <v>1.48</v>
      </c>
      <c r="F348" s="63">
        <v>2.25</v>
      </c>
    </row>
    <row r="349" spans="1:6" x14ac:dyDescent="0.7">
      <c r="A349" s="4">
        <v>2256404</v>
      </c>
      <c r="B349" s="4" t="s">
        <v>498</v>
      </c>
      <c r="C349" s="4" t="s">
        <v>37</v>
      </c>
      <c r="D349" s="4" t="s">
        <v>138</v>
      </c>
      <c r="E349" s="63">
        <v>1.04</v>
      </c>
      <c r="F349" s="63">
        <v>2.91</v>
      </c>
    </row>
    <row r="350" spans="1:6" x14ac:dyDescent="0.7">
      <c r="A350" s="4">
        <v>4203124</v>
      </c>
      <c r="B350" s="4" t="s">
        <v>499</v>
      </c>
      <c r="C350" s="4" t="s">
        <v>37</v>
      </c>
      <c r="D350" s="4" t="s">
        <v>82</v>
      </c>
      <c r="E350" s="63">
        <v>1.53</v>
      </c>
      <c r="F350" s="63">
        <v>2.66</v>
      </c>
    </row>
    <row r="351" spans="1:6" x14ac:dyDescent="0.7">
      <c r="A351" s="4">
        <v>7613218</v>
      </c>
      <c r="B351" s="4" t="s">
        <v>500</v>
      </c>
      <c r="C351" s="4" t="s">
        <v>37</v>
      </c>
      <c r="D351" s="4" t="s">
        <v>82</v>
      </c>
      <c r="E351" s="63">
        <v>1.44</v>
      </c>
      <c r="F351" s="63">
        <v>3.76</v>
      </c>
    </row>
    <row r="352" spans="1:6" x14ac:dyDescent="0.7">
      <c r="A352" s="4">
        <v>8670099</v>
      </c>
      <c r="B352" s="4" t="s">
        <v>501</v>
      </c>
      <c r="C352" s="4" t="s">
        <v>37</v>
      </c>
      <c r="D352" s="4" t="s">
        <v>82</v>
      </c>
      <c r="E352" s="63">
        <v>1.65</v>
      </c>
      <c r="F352" s="63">
        <v>2.75</v>
      </c>
    </row>
    <row r="353" spans="1:6" x14ac:dyDescent="0.7">
      <c r="A353" s="4">
        <v>2867407</v>
      </c>
      <c r="B353" s="4" t="s">
        <v>502</v>
      </c>
      <c r="C353" s="4" t="s">
        <v>37</v>
      </c>
      <c r="D353" s="4" t="s">
        <v>82</v>
      </c>
      <c r="E353" s="63">
        <v>1.86</v>
      </c>
      <c r="F353" s="63">
        <v>3.18</v>
      </c>
    </row>
    <row r="354" spans="1:6" x14ac:dyDescent="0.7">
      <c r="A354" s="4">
        <v>1695579</v>
      </c>
      <c r="B354" s="4" t="s">
        <v>503</v>
      </c>
      <c r="C354" s="4" t="s">
        <v>37</v>
      </c>
      <c r="D354" s="4" t="s">
        <v>145</v>
      </c>
      <c r="E354" s="63">
        <v>1.6</v>
      </c>
      <c r="F354" s="63">
        <v>2.4500000000000002</v>
      </c>
    </row>
    <row r="355" spans="1:6" x14ac:dyDescent="0.7">
      <c r="A355" s="4">
        <v>4970647</v>
      </c>
      <c r="B355" s="4" t="s">
        <v>504</v>
      </c>
      <c r="C355" s="4" t="s">
        <v>37</v>
      </c>
      <c r="D355" s="4" t="s">
        <v>145</v>
      </c>
      <c r="E355" s="63">
        <v>1.34</v>
      </c>
      <c r="F355" s="63">
        <v>3.98</v>
      </c>
    </row>
    <row r="356" spans="1:6" x14ac:dyDescent="0.7">
      <c r="A356" s="4">
        <v>9897686</v>
      </c>
      <c r="B356" s="4" t="s">
        <v>505</v>
      </c>
      <c r="C356" s="4" t="s">
        <v>37</v>
      </c>
      <c r="D356" s="4" t="s">
        <v>145</v>
      </c>
      <c r="E356" s="63">
        <v>1.1299999999999999</v>
      </c>
      <c r="F356" s="63">
        <v>3.58</v>
      </c>
    </row>
    <row r="357" spans="1:6" x14ac:dyDescent="0.7">
      <c r="A357" s="4">
        <v>2773821</v>
      </c>
      <c r="B357" s="4" t="s">
        <v>506</v>
      </c>
      <c r="C357" s="4" t="s">
        <v>37</v>
      </c>
      <c r="D357" s="4" t="s">
        <v>145</v>
      </c>
      <c r="E357" s="63">
        <v>1.19</v>
      </c>
      <c r="F357" s="63">
        <v>3.13</v>
      </c>
    </row>
    <row r="358" spans="1:6" x14ac:dyDescent="0.7">
      <c r="A358" s="4">
        <v>9435650</v>
      </c>
      <c r="B358" s="4" t="s">
        <v>507</v>
      </c>
      <c r="C358" s="4" t="s">
        <v>37</v>
      </c>
      <c r="D358" s="4" t="s">
        <v>150</v>
      </c>
      <c r="E358" s="63">
        <v>1.51</v>
      </c>
      <c r="F358" s="63">
        <v>2.8</v>
      </c>
    </row>
    <row r="359" spans="1:6" x14ac:dyDescent="0.7">
      <c r="A359" s="4">
        <v>1987220</v>
      </c>
      <c r="B359" s="4" t="s">
        <v>508</v>
      </c>
      <c r="C359" s="4" t="s">
        <v>37</v>
      </c>
      <c r="D359" s="4" t="s">
        <v>150</v>
      </c>
      <c r="E359" s="63">
        <v>1.98</v>
      </c>
      <c r="F359" s="63">
        <v>2.2400000000000002</v>
      </c>
    </row>
    <row r="360" spans="1:6" x14ac:dyDescent="0.7">
      <c r="A360" s="4">
        <v>9921555</v>
      </c>
      <c r="B360" s="4" t="s">
        <v>509</v>
      </c>
      <c r="C360" s="4" t="s">
        <v>37</v>
      </c>
      <c r="D360" s="4" t="s">
        <v>150</v>
      </c>
      <c r="E360" s="63">
        <v>1.89</v>
      </c>
      <c r="F360" s="63">
        <v>2.87</v>
      </c>
    </row>
    <row r="361" spans="1:6" x14ac:dyDescent="0.7">
      <c r="A361" s="4">
        <v>3623304</v>
      </c>
      <c r="B361" s="4" t="s">
        <v>510</v>
      </c>
      <c r="C361" s="4" t="s">
        <v>37</v>
      </c>
      <c r="D361" s="4" t="s">
        <v>150</v>
      </c>
      <c r="E361" s="63">
        <v>1.79</v>
      </c>
      <c r="F361" s="63">
        <v>3.31</v>
      </c>
    </row>
    <row r="362" spans="1:6" x14ac:dyDescent="0.7">
      <c r="A362" s="4">
        <v>1394896</v>
      </c>
      <c r="B362" s="4" t="s">
        <v>511</v>
      </c>
      <c r="C362" s="4" t="s">
        <v>37</v>
      </c>
      <c r="D362" s="4" t="s">
        <v>152</v>
      </c>
      <c r="E362" s="63">
        <v>1.29</v>
      </c>
      <c r="F362" s="63">
        <v>2.0499999999999998</v>
      </c>
    </row>
    <row r="363" spans="1:6" x14ac:dyDescent="0.7">
      <c r="A363" s="4">
        <v>4836455</v>
      </c>
      <c r="B363" s="4" t="s">
        <v>512</v>
      </c>
      <c r="C363" s="4" t="s">
        <v>37</v>
      </c>
      <c r="D363" s="4" t="s">
        <v>152</v>
      </c>
      <c r="E363" s="63">
        <v>1.87</v>
      </c>
      <c r="F363" s="63">
        <v>3.53</v>
      </c>
    </row>
    <row r="364" spans="1:6" x14ac:dyDescent="0.7">
      <c r="A364" s="4">
        <v>9315130</v>
      </c>
      <c r="B364" s="4" t="s">
        <v>513</v>
      </c>
      <c r="C364" s="4" t="s">
        <v>37</v>
      </c>
      <c r="D364" s="4" t="s">
        <v>152</v>
      </c>
      <c r="E364" s="63">
        <v>1.93</v>
      </c>
      <c r="F364" s="63">
        <v>3.33</v>
      </c>
    </row>
    <row r="365" spans="1:6" x14ac:dyDescent="0.7">
      <c r="A365" s="4">
        <v>7364611</v>
      </c>
      <c r="B365" s="4" t="s">
        <v>514</v>
      </c>
      <c r="C365" s="4" t="s">
        <v>37</v>
      </c>
      <c r="D365" s="4" t="s">
        <v>152</v>
      </c>
      <c r="E365" s="63">
        <v>1.37</v>
      </c>
      <c r="F365" s="63">
        <v>3.61</v>
      </c>
    </row>
    <row r="366" spans="1:6" x14ac:dyDescent="0.7">
      <c r="A366" s="4">
        <v>2215794</v>
      </c>
      <c r="B366" s="4" t="s">
        <v>515</v>
      </c>
      <c r="C366" s="4" t="s">
        <v>37</v>
      </c>
      <c r="D366" s="4" t="s">
        <v>158</v>
      </c>
      <c r="E366" s="63">
        <v>1.1299999999999999</v>
      </c>
      <c r="F366" s="63">
        <v>3.64</v>
      </c>
    </row>
    <row r="367" spans="1:6" x14ac:dyDescent="0.7">
      <c r="A367" s="4">
        <v>3058848</v>
      </c>
      <c r="B367" s="4" t="s">
        <v>516</v>
      </c>
      <c r="C367" s="4" t="s">
        <v>37</v>
      </c>
      <c r="D367" s="4" t="s">
        <v>158</v>
      </c>
      <c r="E367" s="63">
        <v>1.84</v>
      </c>
      <c r="F367" s="63">
        <v>2.11</v>
      </c>
    </row>
    <row r="368" spans="1:6" x14ac:dyDescent="0.7">
      <c r="A368" s="4">
        <v>4623777</v>
      </c>
      <c r="B368" s="4" t="s">
        <v>517</v>
      </c>
      <c r="C368" s="4" t="s">
        <v>37</v>
      </c>
      <c r="D368" s="4" t="s">
        <v>158</v>
      </c>
      <c r="E368" s="63">
        <v>1.97</v>
      </c>
      <c r="F368" s="63">
        <v>3.19</v>
      </c>
    </row>
    <row r="369" spans="1:6" x14ac:dyDescent="0.7">
      <c r="A369" s="4">
        <v>6097217</v>
      </c>
      <c r="B369" s="4" t="s">
        <v>518</v>
      </c>
      <c r="C369" s="4" t="s">
        <v>37</v>
      </c>
      <c r="D369" s="4" t="s">
        <v>158</v>
      </c>
      <c r="E369" s="63">
        <v>1.49</v>
      </c>
      <c r="F369" s="63">
        <v>2.52</v>
      </c>
    </row>
    <row r="370" spans="1:6" x14ac:dyDescent="0.7">
      <c r="A370" s="4">
        <v>6634958</v>
      </c>
      <c r="B370" s="4" t="s">
        <v>519</v>
      </c>
      <c r="C370" s="4" t="s">
        <v>37</v>
      </c>
      <c r="D370" s="4" t="s">
        <v>100</v>
      </c>
      <c r="E370" s="63">
        <v>1.07</v>
      </c>
      <c r="F370" s="63">
        <v>2.5499999999999998</v>
      </c>
    </row>
    <row r="371" spans="1:6" x14ac:dyDescent="0.7">
      <c r="A371" s="4">
        <v>3075663</v>
      </c>
      <c r="B371" s="4" t="s">
        <v>511</v>
      </c>
      <c r="C371" s="4" t="s">
        <v>37</v>
      </c>
      <c r="D371" s="4" t="s">
        <v>100</v>
      </c>
      <c r="E371" s="63">
        <v>1.32</v>
      </c>
      <c r="F371" s="63">
        <v>2.4700000000000002</v>
      </c>
    </row>
    <row r="372" spans="1:6" x14ac:dyDescent="0.7">
      <c r="A372" s="4">
        <v>3233137</v>
      </c>
      <c r="B372" s="4" t="s">
        <v>520</v>
      </c>
      <c r="C372" s="4" t="s">
        <v>37</v>
      </c>
      <c r="D372" s="4" t="s">
        <v>100</v>
      </c>
      <c r="E372" s="63">
        <v>1.84</v>
      </c>
      <c r="F372" s="63">
        <v>2.25</v>
      </c>
    </row>
    <row r="373" spans="1:6" x14ac:dyDescent="0.7">
      <c r="A373" s="4">
        <v>2623550</v>
      </c>
      <c r="B373" s="4" t="s">
        <v>521</v>
      </c>
      <c r="C373" s="4" t="s">
        <v>37</v>
      </c>
      <c r="D373" s="4" t="s">
        <v>100</v>
      </c>
      <c r="E373" s="63">
        <v>1.65</v>
      </c>
      <c r="F373" s="63">
        <v>3.1</v>
      </c>
    </row>
    <row r="374" spans="1:6" x14ac:dyDescent="0.7">
      <c r="A374" s="4">
        <v>4863792</v>
      </c>
      <c r="B374" s="4" t="s">
        <v>522</v>
      </c>
      <c r="C374" s="4" t="s">
        <v>38</v>
      </c>
      <c r="D374" s="4" t="s">
        <v>3</v>
      </c>
      <c r="E374" s="63">
        <v>1.44</v>
      </c>
      <c r="F374" s="63">
        <v>2.76</v>
      </c>
    </row>
    <row r="375" spans="1:6" x14ac:dyDescent="0.7">
      <c r="A375" s="4">
        <v>9501805</v>
      </c>
      <c r="B375" s="4" t="s">
        <v>523</v>
      </c>
      <c r="C375" s="4" t="s">
        <v>38</v>
      </c>
      <c r="D375" s="4" t="s">
        <v>3</v>
      </c>
      <c r="E375" s="63">
        <v>1.18</v>
      </c>
      <c r="F375" s="63">
        <v>3.14</v>
      </c>
    </row>
    <row r="376" spans="1:6" x14ac:dyDescent="0.7">
      <c r="A376" s="4">
        <v>6827059</v>
      </c>
      <c r="B376" s="4" t="s">
        <v>524</v>
      </c>
      <c r="C376" s="4" t="s">
        <v>38</v>
      </c>
      <c r="D376" s="4" t="s">
        <v>3</v>
      </c>
      <c r="E376" s="63">
        <v>1.6</v>
      </c>
      <c r="F376" s="63">
        <v>2.67</v>
      </c>
    </row>
    <row r="377" spans="1:6" x14ac:dyDescent="0.7">
      <c r="A377" s="4">
        <v>2892533</v>
      </c>
      <c r="B377" s="4" t="s">
        <v>525</v>
      </c>
      <c r="C377" s="4" t="s">
        <v>38</v>
      </c>
      <c r="D377" s="4" t="s">
        <v>3</v>
      </c>
      <c r="E377" s="63">
        <v>1.35</v>
      </c>
      <c r="F377" s="63">
        <v>3.43</v>
      </c>
    </row>
    <row r="378" spans="1:6" x14ac:dyDescent="0.7">
      <c r="A378" s="4">
        <v>4013422</v>
      </c>
      <c r="B378" s="4" t="s">
        <v>526</v>
      </c>
      <c r="C378" s="4" t="s">
        <v>38</v>
      </c>
      <c r="D378" s="4" t="s">
        <v>3</v>
      </c>
      <c r="E378" s="63">
        <v>1.9</v>
      </c>
      <c r="F378" s="63">
        <v>3.7</v>
      </c>
    </row>
    <row r="379" spans="1:6" x14ac:dyDescent="0.7">
      <c r="A379" s="4">
        <v>2083445</v>
      </c>
      <c r="B379" s="4" t="s">
        <v>527</v>
      </c>
      <c r="C379" s="4" t="s">
        <v>38</v>
      </c>
      <c r="D379" s="4" t="s">
        <v>171</v>
      </c>
      <c r="E379" s="63">
        <v>1.91</v>
      </c>
      <c r="F379" s="63">
        <v>2.33</v>
      </c>
    </row>
    <row r="380" spans="1:6" x14ac:dyDescent="0.7">
      <c r="A380" s="4">
        <v>2289697</v>
      </c>
      <c r="B380" s="4" t="s">
        <v>528</v>
      </c>
      <c r="C380" s="4" t="s">
        <v>38</v>
      </c>
      <c r="D380" s="4" t="s">
        <v>171</v>
      </c>
      <c r="E380" s="63">
        <v>1.87</v>
      </c>
      <c r="F380" s="63">
        <v>2.63</v>
      </c>
    </row>
    <row r="381" spans="1:6" x14ac:dyDescent="0.7">
      <c r="A381" s="4">
        <v>7355348</v>
      </c>
      <c r="B381" s="4" t="s">
        <v>529</v>
      </c>
      <c r="C381" s="4" t="s">
        <v>38</v>
      </c>
      <c r="D381" s="4" t="s">
        <v>171</v>
      </c>
      <c r="E381" s="63">
        <v>1.94</v>
      </c>
      <c r="F381" s="63">
        <v>3.07</v>
      </c>
    </row>
    <row r="382" spans="1:6" x14ac:dyDescent="0.7">
      <c r="A382" s="4">
        <v>8974312</v>
      </c>
      <c r="B382" s="4" t="s">
        <v>530</v>
      </c>
      <c r="C382" s="4" t="s">
        <v>38</v>
      </c>
      <c r="D382" s="4" t="s">
        <v>177</v>
      </c>
      <c r="E382" s="63">
        <v>1.03</v>
      </c>
      <c r="F382" s="63">
        <v>3.9</v>
      </c>
    </row>
    <row r="383" spans="1:6" x14ac:dyDescent="0.7">
      <c r="A383" s="4">
        <v>8834636</v>
      </c>
      <c r="B383" s="4" t="s">
        <v>531</v>
      </c>
      <c r="C383" s="4" t="s">
        <v>38</v>
      </c>
      <c r="D383" s="4" t="s">
        <v>177</v>
      </c>
      <c r="E383" s="63">
        <v>1.19</v>
      </c>
      <c r="F383" s="63">
        <v>3.11</v>
      </c>
    </row>
    <row r="384" spans="1:6" x14ac:dyDescent="0.7">
      <c r="A384" s="4">
        <v>7074888</v>
      </c>
      <c r="B384" s="4" t="s">
        <v>532</v>
      </c>
      <c r="C384" s="4" t="s">
        <v>38</v>
      </c>
      <c r="D384" s="4" t="s">
        <v>177</v>
      </c>
      <c r="E384" s="63">
        <v>1.35</v>
      </c>
      <c r="F384" s="63">
        <v>2.06</v>
      </c>
    </row>
    <row r="385" spans="1:6" x14ac:dyDescent="0.7">
      <c r="A385" s="4">
        <v>7634899</v>
      </c>
      <c r="B385" s="4" t="s">
        <v>533</v>
      </c>
      <c r="C385" s="4" t="s">
        <v>38</v>
      </c>
      <c r="D385" s="4" t="s">
        <v>177</v>
      </c>
      <c r="E385" s="63">
        <v>1.42</v>
      </c>
      <c r="F385" s="63">
        <v>3.46</v>
      </c>
    </row>
    <row r="386" spans="1:6" x14ac:dyDescent="0.7">
      <c r="A386" s="4">
        <v>8069161</v>
      </c>
      <c r="B386" s="4" t="s">
        <v>534</v>
      </c>
      <c r="C386" s="4" t="s">
        <v>38</v>
      </c>
      <c r="D386" s="4" t="s">
        <v>182</v>
      </c>
      <c r="E386" s="63">
        <v>1.93</v>
      </c>
      <c r="F386" s="63">
        <v>3.22</v>
      </c>
    </row>
    <row r="387" spans="1:6" x14ac:dyDescent="0.7">
      <c r="A387" s="4">
        <v>5906369</v>
      </c>
      <c r="B387" s="4" t="s">
        <v>535</v>
      </c>
      <c r="C387" s="4" t="s">
        <v>38</v>
      </c>
      <c r="D387" s="4" t="s">
        <v>182</v>
      </c>
      <c r="E387" s="63">
        <v>1.28</v>
      </c>
      <c r="F387" s="63">
        <v>2</v>
      </c>
    </row>
    <row r="388" spans="1:6" x14ac:dyDescent="0.7">
      <c r="A388" s="4">
        <v>4533878</v>
      </c>
      <c r="B388" s="4" t="s">
        <v>536</v>
      </c>
      <c r="C388" s="4" t="s">
        <v>38</v>
      </c>
      <c r="D388" s="4" t="s">
        <v>182</v>
      </c>
      <c r="E388" s="63">
        <v>1.1599999999999999</v>
      </c>
      <c r="F388" s="63">
        <v>3.74</v>
      </c>
    </row>
    <row r="389" spans="1:6" x14ac:dyDescent="0.7">
      <c r="A389" s="4">
        <v>8914850</v>
      </c>
      <c r="B389" s="4" t="s">
        <v>537</v>
      </c>
      <c r="C389" s="4" t="s">
        <v>38</v>
      </c>
      <c r="D389" s="4" t="s">
        <v>182</v>
      </c>
      <c r="E389" s="63">
        <v>1.22</v>
      </c>
      <c r="F389" s="63">
        <v>3.39</v>
      </c>
    </row>
    <row r="390" spans="1:6" x14ac:dyDescent="0.7">
      <c r="A390" s="4">
        <v>2329700</v>
      </c>
      <c r="B390" s="4" t="s">
        <v>538</v>
      </c>
      <c r="C390" s="4" t="s">
        <v>38</v>
      </c>
      <c r="D390" s="4" t="s">
        <v>186</v>
      </c>
      <c r="E390" s="63">
        <v>1</v>
      </c>
      <c r="F390" s="63">
        <v>2.83</v>
      </c>
    </row>
    <row r="391" spans="1:6" x14ac:dyDescent="0.7">
      <c r="A391" s="4">
        <v>7050452</v>
      </c>
      <c r="B391" s="4" t="s">
        <v>539</v>
      </c>
      <c r="C391" s="4" t="s">
        <v>38</v>
      </c>
      <c r="D391" s="4" t="s">
        <v>186</v>
      </c>
      <c r="E391" s="63">
        <v>1.37</v>
      </c>
      <c r="F391" s="63">
        <v>3.7</v>
      </c>
    </row>
    <row r="392" spans="1:6" x14ac:dyDescent="0.7">
      <c r="A392" s="4">
        <v>1244799</v>
      </c>
      <c r="B392" s="4" t="s">
        <v>540</v>
      </c>
      <c r="C392" s="4" t="s">
        <v>38</v>
      </c>
      <c r="D392" s="4" t="s">
        <v>186</v>
      </c>
      <c r="E392" s="63">
        <v>1.37</v>
      </c>
      <c r="F392" s="63">
        <v>2.02</v>
      </c>
    </row>
    <row r="393" spans="1:6" x14ac:dyDescent="0.7">
      <c r="A393" s="4">
        <v>9724528</v>
      </c>
      <c r="B393" s="4" t="s">
        <v>541</v>
      </c>
      <c r="C393" s="4" t="s">
        <v>38</v>
      </c>
      <c r="D393" s="4" t="s">
        <v>186</v>
      </c>
      <c r="E393" s="63">
        <v>2</v>
      </c>
      <c r="F393" s="63">
        <v>4</v>
      </c>
    </row>
    <row r="394" spans="1:6" x14ac:dyDescent="0.7">
      <c r="A394" s="4">
        <v>4086836</v>
      </c>
      <c r="B394" s="4" t="s">
        <v>542</v>
      </c>
      <c r="C394" s="4" t="s">
        <v>38</v>
      </c>
      <c r="D394" s="4" t="s">
        <v>190</v>
      </c>
      <c r="E394" s="63">
        <v>1.18</v>
      </c>
      <c r="F394" s="63">
        <v>3.82</v>
      </c>
    </row>
    <row r="395" spans="1:6" x14ac:dyDescent="0.7">
      <c r="A395" s="4">
        <v>6450854</v>
      </c>
      <c r="B395" s="4" t="s">
        <v>543</v>
      </c>
      <c r="C395" s="4" t="s">
        <v>38</v>
      </c>
      <c r="D395" s="4" t="s">
        <v>190</v>
      </c>
      <c r="E395" s="63">
        <v>1.66</v>
      </c>
      <c r="F395" s="63">
        <v>2.14</v>
      </c>
    </row>
    <row r="396" spans="1:6" x14ac:dyDescent="0.7">
      <c r="A396" s="4">
        <v>7388125</v>
      </c>
      <c r="B396" s="4" t="s">
        <v>544</v>
      </c>
      <c r="C396" s="4" t="s">
        <v>38</v>
      </c>
      <c r="D396" s="4" t="s">
        <v>190</v>
      </c>
      <c r="E396" s="63">
        <v>2</v>
      </c>
      <c r="F396" s="63">
        <v>3.67</v>
      </c>
    </row>
    <row r="397" spans="1:6" x14ac:dyDescent="0.7">
      <c r="A397" s="4">
        <v>4813024</v>
      </c>
      <c r="B397" s="4" t="s">
        <v>545</v>
      </c>
      <c r="C397" s="4" t="s">
        <v>38</v>
      </c>
      <c r="D397" s="4" t="s">
        <v>190</v>
      </c>
      <c r="E397" s="63">
        <v>1.78</v>
      </c>
      <c r="F397" s="63">
        <v>3.57</v>
      </c>
    </row>
    <row r="398" spans="1:6" x14ac:dyDescent="0.7">
      <c r="A398" s="4">
        <v>6667555</v>
      </c>
      <c r="B398" s="4" t="s">
        <v>546</v>
      </c>
      <c r="C398" s="4" t="s">
        <v>38</v>
      </c>
      <c r="D398" s="4" t="s">
        <v>190</v>
      </c>
      <c r="E398" s="63">
        <v>1.28</v>
      </c>
      <c r="F398" s="63">
        <v>3.1</v>
      </c>
    </row>
    <row r="399" spans="1:6" x14ac:dyDescent="0.7">
      <c r="A399" s="4">
        <v>8902071</v>
      </c>
      <c r="B399" s="4" t="s">
        <v>547</v>
      </c>
      <c r="C399" s="4" t="s">
        <v>38</v>
      </c>
      <c r="D399" s="4" t="s">
        <v>474</v>
      </c>
      <c r="E399" s="63">
        <v>1.52</v>
      </c>
      <c r="F399" s="63">
        <v>3.51</v>
      </c>
    </row>
    <row r="400" spans="1:6" x14ac:dyDescent="0.7">
      <c r="A400" s="4">
        <v>7816766</v>
      </c>
      <c r="B400" s="4" t="s">
        <v>548</v>
      </c>
      <c r="C400" s="4" t="s">
        <v>38</v>
      </c>
      <c r="D400" s="4" t="s">
        <v>474</v>
      </c>
      <c r="E400" s="63">
        <v>1.28</v>
      </c>
      <c r="F400" s="63">
        <v>2.31</v>
      </c>
    </row>
    <row r="401" spans="1:6" x14ac:dyDescent="0.7">
      <c r="A401" s="4">
        <v>4660008</v>
      </c>
      <c r="B401" s="4" t="s">
        <v>549</v>
      </c>
      <c r="C401" s="4" t="s">
        <v>38</v>
      </c>
      <c r="D401" s="4" t="s">
        <v>474</v>
      </c>
      <c r="E401" s="63">
        <v>1.97</v>
      </c>
      <c r="F401" s="63">
        <v>3.58</v>
      </c>
    </row>
    <row r="402" spans="1:6" x14ac:dyDescent="0.7">
      <c r="A402" s="4">
        <v>2883576</v>
      </c>
      <c r="B402" s="4" t="s">
        <v>550</v>
      </c>
      <c r="C402" s="4" t="s">
        <v>38</v>
      </c>
      <c r="D402" s="4" t="s">
        <v>474</v>
      </c>
      <c r="E402" s="63">
        <v>1.86</v>
      </c>
      <c r="F402" s="63">
        <v>2.48</v>
      </c>
    </row>
    <row r="403" spans="1:6" x14ac:dyDescent="0.7">
      <c r="A403" s="4">
        <v>7678474</v>
      </c>
      <c r="B403" s="4" t="s">
        <v>551</v>
      </c>
      <c r="C403" s="4" t="s">
        <v>38</v>
      </c>
      <c r="D403" s="4" t="s">
        <v>474</v>
      </c>
      <c r="E403" s="63">
        <v>1.37</v>
      </c>
      <c r="F403" s="63">
        <v>2.62</v>
      </c>
    </row>
    <row r="404" spans="1:6" x14ac:dyDescent="0.7">
      <c r="A404" s="4">
        <v>8940390</v>
      </c>
      <c r="B404" s="4" t="s">
        <v>552</v>
      </c>
      <c r="C404" s="4" t="s">
        <v>38</v>
      </c>
      <c r="D404" s="4" t="s">
        <v>192</v>
      </c>
      <c r="E404" s="63">
        <v>1.28</v>
      </c>
      <c r="F404" s="63">
        <v>3.78</v>
      </c>
    </row>
    <row r="405" spans="1:6" x14ac:dyDescent="0.7">
      <c r="A405" s="4">
        <v>6117587</v>
      </c>
      <c r="B405" s="4" t="s">
        <v>553</v>
      </c>
      <c r="C405" s="4" t="s">
        <v>38</v>
      </c>
      <c r="D405" s="4" t="s">
        <v>192</v>
      </c>
      <c r="E405" s="63">
        <v>1.25</v>
      </c>
      <c r="F405" s="63">
        <v>2.96</v>
      </c>
    </row>
    <row r="406" spans="1:6" x14ac:dyDescent="0.7">
      <c r="A406" s="4">
        <v>6798974</v>
      </c>
      <c r="B406" s="4" t="s">
        <v>554</v>
      </c>
      <c r="C406" s="4" t="s">
        <v>38</v>
      </c>
      <c r="D406" s="4" t="s">
        <v>192</v>
      </c>
      <c r="E406" s="63">
        <v>1.27</v>
      </c>
      <c r="F406" s="63">
        <v>2.48</v>
      </c>
    </row>
    <row r="407" spans="1:6" x14ac:dyDescent="0.7">
      <c r="A407" s="4">
        <v>4007299</v>
      </c>
      <c r="B407" s="4" t="s">
        <v>555</v>
      </c>
      <c r="C407" s="4" t="s">
        <v>38</v>
      </c>
      <c r="D407" s="4" t="s">
        <v>192</v>
      </c>
      <c r="E407" s="63">
        <v>1.31</v>
      </c>
      <c r="F407" s="63">
        <v>3.24</v>
      </c>
    </row>
    <row r="408" spans="1:6" x14ac:dyDescent="0.7">
      <c r="A408" s="4">
        <v>4085783</v>
      </c>
      <c r="B408" s="4" t="s">
        <v>556</v>
      </c>
      <c r="C408" s="4" t="s">
        <v>38</v>
      </c>
      <c r="D408" s="4" t="s">
        <v>192</v>
      </c>
      <c r="E408" s="63">
        <v>1.0900000000000001</v>
      </c>
      <c r="F408" s="63">
        <v>3.41</v>
      </c>
    </row>
    <row r="409" spans="1:6" x14ac:dyDescent="0.7">
      <c r="A409" s="4">
        <v>5689454</v>
      </c>
      <c r="B409" s="4" t="s">
        <v>557</v>
      </c>
      <c r="C409" s="4" t="s">
        <v>38</v>
      </c>
      <c r="D409" s="4" t="s">
        <v>90</v>
      </c>
      <c r="E409" s="63">
        <v>1.44</v>
      </c>
      <c r="F409" s="63">
        <v>3.83</v>
      </c>
    </row>
    <row r="410" spans="1:6" x14ac:dyDescent="0.7">
      <c r="A410" s="4">
        <v>7213272</v>
      </c>
      <c r="B410" s="4" t="s">
        <v>558</v>
      </c>
      <c r="C410" s="4" t="s">
        <v>38</v>
      </c>
      <c r="D410" s="4" t="s">
        <v>90</v>
      </c>
      <c r="E410" s="63">
        <v>1.35</v>
      </c>
      <c r="F410" s="63">
        <v>2.38</v>
      </c>
    </row>
    <row r="411" spans="1:6" x14ac:dyDescent="0.7">
      <c r="A411" s="4">
        <v>6645174</v>
      </c>
      <c r="B411" s="4" t="s">
        <v>559</v>
      </c>
      <c r="C411" s="4" t="s">
        <v>38</v>
      </c>
      <c r="D411" s="4" t="s">
        <v>90</v>
      </c>
      <c r="E411" s="63">
        <v>1.69</v>
      </c>
      <c r="F411" s="63">
        <v>3.86</v>
      </c>
    </row>
    <row r="412" spans="1:6" x14ac:dyDescent="0.7">
      <c r="A412" s="4">
        <v>4566258</v>
      </c>
      <c r="B412" s="4" t="s">
        <v>560</v>
      </c>
      <c r="C412" s="4" t="s">
        <v>38</v>
      </c>
      <c r="D412" s="4" t="s">
        <v>90</v>
      </c>
      <c r="E412" s="63">
        <v>1</v>
      </c>
      <c r="F412" s="63">
        <v>2.2799999999999998</v>
      </c>
    </row>
    <row r="413" spans="1:6" x14ac:dyDescent="0.7">
      <c r="A413" s="4">
        <v>1721112</v>
      </c>
      <c r="B413" s="4" t="s">
        <v>561</v>
      </c>
      <c r="C413" s="4" t="s">
        <v>38</v>
      </c>
      <c r="D413" s="4" t="s">
        <v>94</v>
      </c>
      <c r="E413" s="63">
        <v>1.28</v>
      </c>
      <c r="F413" s="63">
        <v>2.89</v>
      </c>
    </row>
    <row r="414" spans="1:6" x14ac:dyDescent="0.7">
      <c r="A414" s="4">
        <v>2911610</v>
      </c>
      <c r="B414" s="4" t="s">
        <v>562</v>
      </c>
      <c r="C414" s="4" t="s">
        <v>38</v>
      </c>
      <c r="D414" s="4" t="s">
        <v>94</v>
      </c>
      <c r="E414" s="63">
        <v>1.84</v>
      </c>
      <c r="F414" s="63">
        <v>2.72</v>
      </c>
    </row>
    <row r="415" spans="1:6" x14ac:dyDescent="0.7">
      <c r="A415" s="4">
        <v>1559696</v>
      </c>
      <c r="B415" s="4" t="s">
        <v>563</v>
      </c>
      <c r="C415" s="4" t="s">
        <v>38</v>
      </c>
      <c r="D415" s="4" t="s">
        <v>94</v>
      </c>
      <c r="E415" s="63">
        <v>1.69</v>
      </c>
      <c r="F415" s="63">
        <v>2.5099999999999998</v>
      </c>
    </row>
    <row r="416" spans="1:6" x14ac:dyDescent="0.7">
      <c r="A416" s="4">
        <v>2224302</v>
      </c>
      <c r="B416" s="4" t="s">
        <v>564</v>
      </c>
      <c r="C416" s="4" t="s">
        <v>38</v>
      </c>
      <c r="D416" s="4" t="s">
        <v>94</v>
      </c>
      <c r="E416" s="63">
        <v>1.3</v>
      </c>
      <c r="F416" s="63">
        <v>2.65</v>
      </c>
    </row>
    <row r="417" spans="1:6" x14ac:dyDescent="0.7">
      <c r="A417" s="4">
        <v>6545946</v>
      </c>
      <c r="B417" s="4" t="s">
        <v>565</v>
      </c>
      <c r="C417" s="4" t="s">
        <v>38</v>
      </c>
      <c r="D417" s="4" t="s">
        <v>207</v>
      </c>
      <c r="E417" s="63">
        <v>1.98</v>
      </c>
      <c r="F417" s="63">
        <v>3.69</v>
      </c>
    </row>
    <row r="418" spans="1:6" x14ac:dyDescent="0.7">
      <c r="A418" s="4">
        <v>8968948</v>
      </c>
      <c r="B418" s="4" t="s">
        <v>566</v>
      </c>
      <c r="C418" s="4" t="s">
        <v>38</v>
      </c>
      <c r="D418" s="4" t="s">
        <v>207</v>
      </c>
      <c r="E418" s="63">
        <v>1.94</v>
      </c>
      <c r="F418" s="63">
        <v>3.43</v>
      </c>
    </row>
    <row r="419" spans="1:6" x14ac:dyDescent="0.7">
      <c r="A419" s="4">
        <v>5845312</v>
      </c>
      <c r="B419" s="4" t="s">
        <v>567</v>
      </c>
      <c r="C419" s="4" t="s">
        <v>38</v>
      </c>
      <c r="D419" s="4" t="s">
        <v>207</v>
      </c>
      <c r="E419" s="63">
        <v>1.45</v>
      </c>
      <c r="F419" s="63">
        <v>3.37</v>
      </c>
    </row>
    <row r="420" spans="1:6" x14ac:dyDescent="0.7">
      <c r="A420" s="4">
        <v>7631202</v>
      </c>
      <c r="B420" s="4" t="s">
        <v>568</v>
      </c>
      <c r="C420" s="4" t="s">
        <v>38</v>
      </c>
      <c r="D420" s="4" t="s">
        <v>207</v>
      </c>
      <c r="E420" s="63">
        <v>1.61</v>
      </c>
      <c r="F420" s="63">
        <v>3.96</v>
      </c>
    </row>
    <row r="421" spans="1:6" x14ac:dyDescent="0.7">
      <c r="A421" s="4">
        <v>2588004</v>
      </c>
      <c r="B421" s="4" t="s">
        <v>569</v>
      </c>
      <c r="C421" s="4" t="s">
        <v>38</v>
      </c>
      <c r="D421" s="4" t="s">
        <v>212</v>
      </c>
      <c r="E421" s="63">
        <v>1.58</v>
      </c>
      <c r="F421" s="63">
        <v>3.42</v>
      </c>
    </row>
    <row r="422" spans="1:6" x14ac:dyDescent="0.7">
      <c r="A422" s="4">
        <v>1666735</v>
      </c>
      <c r="B422" s="4" t="s">
        <v>570</v>
      </c>
      <c r="C422" s="4" t="s">
        <v>38</v>
      </c>
      <c r="D422" s="4" t="s">
        <v>212</v>
      </c>
      <c r="E422" s="63">
        <v>1.17</v>
      </c>
      <c r="F422" s="63">
        <v>2.37</v>
      </c>
    </row>
    <row r="423" spans="1:6" x14ac:dyDescent="0.7">
      <c r="A423" s="4">
        <v>7726355</v>
      </c>
      <c r="B423" s="4" t="s">
        <v>571</v>
      </c>
      <c r="C423" s="4" t="s">
        <v>38</v>
      </c>
      <c r="D423" s="4" t="s">
        <v>212</v>
      </c>
      <c r="E423" s="63">
        <v>1.5</v>
      </c>
      <c r="F423" s="63">
        <v>2.21</v>
      </c>
    </row>
    <row r="424" spans="1:6" x14ac:dyDescent="0.7">
      <c r="A424" s="4">
        <v>5672778</v>
      </c>
      <c r="B424" s="4" t="s">
        <v>572</v>
      </c>
      <c r="C424" s="4" t="s">
        <v>38</v>
      </c>
      <c r="D424" s="4" t="s">
        <v>212</v>
      </c>
      <c r="E424" s="63">
        <v>1.75</v>
      </c>
      <c r="F424" s="63">
        <v>2.7</v>
      </c>
    </row>
    <row r="425" spans="1:6" x14ac:dyDescent="0.7">
      <c r="A425" s="4">
        <v>1827175</v>
      </c>
      <c r="B425" s="4" t="s">
        <v>573</v>
      </c>
      <c r="C425" s="4" t="s">
        <v>39</v>
      </c>
      <c r="D425" s="4" t="s">
        <v>216</v>
      </c>
      <c r="E425" s="63">
        <v>1.37</v>
      </c>
      <c r="F425" s="63">
        <v>3.03</v>
      </c>
    </row>
    <row r="426" spans="1:6" x14ac:dyDescent="0.7">
      <c r="A426" s="4">
        <v>8595489</v>
      </c>
      <c r="B426" s="4" t="s">
        <v>574</v>
      </c>
      <c r="C426" s="4" t="s">
        <v>39</v>
      </c>
      <c r="D426" s="4" t="s">
        <v>216</v>
      </c>
      <c r="E426" s="63">
        <v>1.98</v>
      </c>
      <c r="F426" s="63">
        <v>2.63</v>
      </c>
    </row>
    <row r="427" spans="1:6" x14ac:dyDescent="0.7">
      <c r="A427" s="4">
        <v>9897795</v>
      </c>
      <c r="B427" s="4" t="s">
        <v>575</v>
      </c>
      <c r="C427" s="4" t="s">
        <v>39</v>
      </c>
      <c r="D427" s="4" t="s">
        <v>216</v>
      </c>
      <c r="E427" s="63">
        <v>1.95</v>
      </c>
      <c r="F427" s="63">
        <v>2.16</v>
      </c>
    </row>
    <row r="428" spans="1:6" x14ac:dyDescent="0.7">
      <c r="A428" s="4">
        <v>6967347</v>
      </c>
      <c r="B428" s="4" t="s">
        <v>576</v>
      </c>
      <c r="C428" s="4" t="s">
        <v>39</v>
      </c>
      <c r="D428" s="4" t="s">
        <v>216</v>
      </c>
      <c r="E428" s="63">
        <v>1.1200000000000001</v>
      </c>
      <c r="F428" s="63">
        <v>2.0499999999999998</v>
      </c>
    </row>
    <row r="429" spans="1:6" x14ac:dyDescent="0.7">
      <c r="A429" s="4">
        <v>4287905</v>
      </c>
      <c r="B429" s="4" t="s">
        <v>577</v>
      </c>
      <c r="C429" s="4" t="s">
        <v>39</v>
      </c>
      <c r="D429" s="4" t="s">
        <v>56</v>
      </c>
      <c r="E429" s="63">
        <v>1.65</v>
      </c>
      <c r="F429" s="63">
        <v>2.1800000000000002</v>
      </c>
    </row>
    <row r="430" spans="1:6" x14ac:dyDescent="0.7">
      <c r="A430" s="4">
        <v>8199131</v>
      </c>
      <c r="B430" s="4" t="s">
        <v>578</v>
      </c>
      <c r="C430" s="4" t="s">
        <v>39</v>
      </c>
      <c r="D430" s="4" t="s">
        <v>56</v>
      </c>
      <c r="E430" s="63">
        <v>1.45</v>
      </c>
      <c r="F430" s="63">
        <v>3.65</v>
      </c>
    </row>
    <row r="431" spans="1:6" x14ac:dyDescent="0.7">
      <c r="A431" s="4">
        <v>6074587</v>
      </c>
      <c r="B431" s="4" t="s">
        <v>579</v>
      </c>
      <c r="C431" s="4" t="s">
        <v>39</v>
      </c>
      <c r="D431" s="4" t="s">
        <v>56</v>
      </c>
      <c r="E431" s="63">
        <v>1.74</v>
      </c>
      <c r="F431" s="63">
        <v>2.82</v>
      </c>
    </row>
    <row r="432" spans="1:6" x14ac:dyDescent="0.7">
      <c r="A432" s="4">
        <v>5000422</v>
      </c>
      <c r="B432" s="4" t="s">
        <v>580</v>
      </c>
      <c r="C432" s="4" t="s">
        <v>39</v>
      </c>
      <c r="D432" s="4" t="s">
        <v>56</v>
      </c>
      <c r="E432" s="63">
        <v>1.63</v>
      </c>
      <c r="F432" s="63">
        <v>2.83</v>
      </c>
    </row>
    <row r="433" spans="1:6" x14ac:dyDescent="0.7">
      <c r="A433" s="4">
        <v>3033680</v>
      </c>
      <c r="B433" s="4" t="s">
        <v>581</v>
      </c>
      <c r="C433" s="4" t="s">
        <v>39</v>
      </c>
      <c r="D433" s="4" t="s">
        <v>54</v>
      </c>
      <c r="E433" s="63">
        <v>1.59</v>
      </c>
      <c r="F433" s="63">
        <v>3.77</v>
      </c>
    </row>
    <row r="434" spans="1:6" x14ac:dyDescent="0.7">
      <c r="A434" s="4">
        <v>8934756</v>
      </c>
      <c r="B434" s="4" t="s">
        <v>582</v>
      </c>
      <c r="C434" s="4" t="s">
        <v>39</v>
      </c>
      <c r="D434" s="4" t="s">
        <v>54</v>
      </c>
      <c r="E434" s="63">
        <v>1.97</v>
      </c>
      <c r="F434" s="63">
        <v>3.69</v>
      </c>
    </row>
    <row r="435" spans="1:6" x14ac:dyDescent="0.7">
      <c r="A435" s="4">
        <v>8165392</v>
      </c>
      <c r="B435" s="4" t="s">
        <v>583</v>
      </c>
      <c r="C435" s="4" t="s">
        <v>39</v>
      </c>
      <c r="D435" s="4" t="s">
        <v>54</v>
      </c>
      <c r="E435" s="63">
        <v>1.6</v>
      </c>
      <c r="F435" s="63">
        <v>2.86</v>
      </c>
    </row>
    <row r="436" spans="1:6" x14ac:dyDescent="0.7">
      <c r="A436" s="4">
        <v>3808907</v>
      </c>
      <c r="B436" s="4" t="s">
        <v>584</v>
      </c>
      <c r="C436" s="4" t="s">
        <v>39</v>
      </c>
      <c r="D436" s="4" t="s">
        <v>54</v>
      </c>
      <c r="E436" s="63">
        <v>1.7</v>
      </c>
      <c r="F436" s="63">
        <v>3.8</v>
      </c>
    </row>
    <row r="437" spans="1:6" x14ac:dyDescent="0.7">
      <c r="A437" s="4">
        <v>3164847</v>
      </c>
      <c r="B437" s="4" t="s">
        <v>585</v>
      </c>
      <c r="C437" s="4" t="s">
        <v>39</v>
      </c>
      <c r="D437" s="4" t="s">
        <v>114</v>
      </c>
      <c r="E437" s="63">
        <v>1.22</v>
      </c>
      <c r="F437" s="63">
        <v>2.17</v>
      </c>
    </row>
    <row r="438" spans="1:6" x14ac:dyDescent="0.7">
      <c r="A438" s="4">
        <v>1685832</v>
      </c>
      <c r="B438" s="4" t="s">
        <v>586</v>
      </c>
      <c r="C438" s="4" t="s">
        <v>39</v>
      </c>
      <c r="D438" s="4" t="s">
        <v>114</v>
      </c>
      <c r="E438" s="63">
        <v>1.36</v>
      </c>
      <c r="F438" s="63">
        <v>2.3199999999999998</v>
      </c>
    </row>
    <row r="439" spans="1:6" x14ac:dyDescent="0.7">
      <c r="A439" s="4">
        <v>8329399</v>
      </c>
      <c r="B439" s="4" t="s">
        <v>587</v>
      </c>
      <c r="C439" s="4" t="s">
        <v>39</v>
      </c>
      <c r="D439" s="4" t="s">
        <v>114</v>
      </c>
      <c r="E439" s="63">
        <v>1.1499999999999999</v>
      </c>
      <c r="F439" s="63">
        <v>3.92</v>
      </c>
    </row>
    <row r="440" spans="1:6" x14ac:dyDescent="0.7">
      <c r="A440" s="4">
        <v>8315401</v>
      </c>
      <c r="B440" s="4" t="s">
        <v>588</v>
      </c>
      <c r="C440" s="4" t="s">
        <v>39</v>
      </c>
      <c r="D440" s="4" t="s">
        <v>114</v>
      </c>
      <c r="E440" s="63">
        <v>1.32</v>
      </c>
      <c r="F440" s="63">
        <v>3.99</v>
      </c>
    </row>
    <row r="441" spans="1:6" x14ac:dyDescent="0.7">
      <c r="A441" s="4">
        <v>3865975</v>
      </c>
      <c r="B441" s="4" t="s">
        <v>589</v>
      </c>
      <c r="C441" s="4" t="s">
        <v>39</v>
      </c>
      <c r="D441" s="4" t="s">
        <v>78</v>
      </c>
      <c r="E441" s="63">
        <v>1.62</v>
      </c>
      <c r="F441" s="63">
        <v>2.79</v>
      </c>
    </row>
    <row r="442" spans="1:6" x14ac:dyDescent="0.7">
      <c r="A442" s="4">
        <v>6704333</v>
      </c>
      <c r="B442" s="4" t="s">
        <v>590</v>
      </c>
      <c r="C442" s="4" t="s">
        <v>39</v>
      </c>
      <c r="D442" s="4" t="s">
        <v>78</v>
      </c>
      <c r="E442" s="63">
        <v>1.8</v>
      </c>
      <c r="F442" s="63">
        <v>2.15</v>
      </c>
    </row>
    <row r="443" spans="1:6" x14ac:dyDescent="0.7">
      <c r="A443" s="4">
        <v>2177558</v>
      </c>
      <c r="B443" s="4" t="s">
        <v>591</v>
      </c>
      <c r="C443" s="4" t="s">
        <v>39</v>
      </c>
      <c r="D443" s="4" t="s">
        <v>78</v>
      </c>
      <c r="E443" s="63">
        <v>1.63</v>
      </c>
      <c r="F443" s="63">
        <v>3.81</v>
      </c>
    </row>
    <row r="444" spans="1:6" x14ac:dyDescent="0.7">
      <c r="A444" s="4">
        <v>4545433</v>
      </c>
      <c r="B444" s="4" t="s">
        <v>592</v>
      </c>
      <c r="C444" s="4" t="s">
        <v>39</v>
      </c>
      <c r="D444" s="4" t="s">
        <v>78</v>
      </c>
      <c r="E444" s="63">
        <v>1.18</v>
      </c>
      <c r="F444" s="63">
        <v>3.91</v>
      </c>
    </row>
    <row r="445" spans="1:6" x14ac:dyDescent="0.7">
      <c r="A445" s="4">
        <v>8849035</v>
      </c>
      <c r="B445" s="4" t="s">
        <v>593</v>
      </c>
      <c r="C445" s="4" t="s">
        <v>39</v>
      </c>
      <c r="D445" s="4" t="s">
        <v>234</v>
      </c>
      <c r="E445" s="63">
        <v>1.39</v>
      </c>
      <c r="F445" s="63">
        <v>3.7</v>
      </c>
    </row>
    <row r="446" spans="1:6" x14ac:dyDescent="0.7">
      <c r="A446" s="4">
        <v>5905711</v>
      </c>
      <c r="B446" s="4" t="s">
        <v>594</v>
      </c>
      <c r="C446" s="4" t="s">
        <v>39</v>
      </c>
      <c r="D446" s="4" t="s">
        <v>234</v>
      </c>
      <c r="E446" s="63">
        <v>1.48</v>
      </c>
      <c r="F446" s="63">
        <v>2.39</v>
      </c>
    </row>
    <row r="447" spans="1:6" x14ac:dyDescent="0.7">
      <c r="A447" s="4">
        <v>5753209</v>
      </c>
      <c r="B447" s="4" t="s">
        <v>595</v>
      </c>
      <c r="C447" s="4" t="s">
        <v>39</v>
      </c>
      <c r="D447" s="4" t="s">
        <v>234</v>
      </c>
      <c r="E447" s="63">
        <v>1.8</v>
      </c>
      <c r="F447" s="63">
        <v>2.2599999999999998</v>
      </c>
    </row>
    <row r="448" spans="1:6" x14ac:dyDescent="0.7">
      <c r="A448" s="4">
        <v>3147822</v>
      </c>
      <c r="B448" s="4" t="s">
        <v>596</v>
      </c>
      <c r="C448" s="4" t="s">
        <v>39</v>
      </c>
      <c r="D448" s="4" t="s">
        <v>234</v>
      </c>
      <c r="E448" s="63">
        <v>1.44</v>
      </c>
      <c r="F448" s="63">
        <v>3.3</v>
      </c>
    </row>
    <row r="449" spans="1:6" x14ac:dyDescent="0.7">
      <c r="A449" s="4">
        <v>9723120</v>
      </c>
      <c r="B449" s="4" t="s">
        <v>597</v>
      </c>
      <c r="C449" s="4" t="s">
        <v>39</v>
      </c>
      <c r="D449" s="4" t="s">
        <v>238</v>
      </c>
      <c r="E449" s="63">
        <v>1.93</v>
      </c>
      <c r="F449" s="63">
        <v>2.02</v>
      </c>
    </row>
    <row r="450" spans="1:6" x14ac:dyDescent="0.7">
      <c r="A450" s="4">
        <v>9331007</v>
      </c>
      <c r="B450" s="4" t="s">
        <v>598</v>
      </c>
      <c r="C450" s="4" t="s">
        <v>39</v>
      </c>
      <c r="D450" s="4" t="s">
        <v>238</v>
      </c>
      <c r="E450" s="63">
        <v>1.08</v>
      </c>
      <c r="F450" s="63">
        <v>2.81</v>
      </c>
    </row>
    <row r="451" spans="1:6" x14ac:dyDescent="0.7">
      <c r="A451" s="4">
        <v>9477840</v>
      </c>
      <c r="B451" s="4" t="s">
        <v>599</v>
      </c>
      <c r="C451" s="4" t="s">
        <v>39</v>
      </c>
      <c r="D451" s="4" t="s">
        <v>238</v>
      </c>
      <c r="E451" s="63">
        <v>1.5</v>
      </c>
      <c r="F451" s="63">
        <v>3.71</v>
      </c>
    </row>
    <row r="452" spans="1:6" x14ac:dyDescent="0.7">
      <c r="A452" s="4">
        <v>3260708</v>
      </c>
      <c r="B452" s="4" t="s">
        <v>600</v>
      </c>
      <c r="C452" s="4" t="s">
        <v>39</v>
      </c>
      <c r="D452" s="4" t="s">
        <v>238</v>
      </c>
      <c r="E452" s="63">
        <v>1.24</v>
      </c>
      <c r="F452" s="63">
        <v>2</v>
      </c>
    </row>
    <row r="453" spans="1:6" x14ac:dyDescent="0.7">
      <c r="A453" s="4">
        <v>3499435</v>
      </c>
      <c r="B453" s="4" t="s">
        <v>601</v>
      </c>
      <c r="C453" s="4" t="s">
        <v>39</v>
      </c>
      <c r="D453" s="4" t="s">
        <v>238</v>
      </c>
      <c r="E453" s="63">
        <v>1.35</v>
      </c>
      <c r="F453" s="63">
        <v>2.5</v>
      </c>
    </row>
    <row r="454" spans="1:6" x14ac:dyDescent="0.7">
      <c r="A454" s="4">
        <v>1506055</v>
      </c>
      <c r="B454" s="4" t="s">
        <v>602</v>
      </c>
      <c r="C454" s="4" t="s">
        <v>39</v>
      </c>
      <c r="D454" s="4" t="s">
        <v>55</v>
      </c>
      <c r="E454" s="63">
        <v>1.57</v>
      </c>
      <c r="F454" s="63">
        <v>3.36</v>
      </c>
    </row>
    <row r="455" spans="1:6" x14ac:dyDescent="0.7">
      <c r="A455" s="4">
        <v>9147703</v>
      </c>
      <c r="B455" s="4" t="s">
        <v>603</v>
      </c>
      <c r="C455" s="4" t="s">
        <v>39</v>
      </c>
      <c r="D455" s="4" t="s">
        <v>55</v>
      </c>
      <c r="E455" s="63">
        <v>1.48</v>
      </c>
      <c r="F455" s="63">
        <v>2.02</v>
      </c>
    </row>
    <row r="456" spans="1:6" x14ac:dyDescent="0.7">
      <c r="A456" s="4">
        <v>2268660</v>
      </c>
      <c r="B456" s="4" t="s">
        <v>604</v>
      </c>
      <c r="C456" s="4" t="s">
        <v>39</v>
      </c>
      <c r="D456" s="4" t="s">
        <v>55</v>
      </c>
      <c r="E456" s="63">
        <v>1.38</v>
      </c>
      <c r="F456" s="63">
        <v>3.86</v>
      </c>
    </row>
    <row r="457" spans="1:6" x14ac:dyDescent="0.7">
      <c r="A457" s="4">
        <v>9869563</v>
      </c>
      <c r="B457" s="4" t="s">
        <v>605</v>
      </c>
      <c r="C457" s="4" t="s">
        <v>39</v>
      </c>
      <c r="D457" s="4" t="s">
        <v>55</v>
      </c>
      <c r="E457" s="63">
        <v>1.35</v>
      </c>
      <c r="F457" s="63">
        <v>3.18</v>
      </c>
    </row>
    <row r="458" spans="1:6" x14ac:dyDescent="0.7">
      <c r="A458" s="4">
        <v>2783517</v>
      </c>
      <c r="B458" s="4" t="s">
        <v>606</v>
      </c>
      <c r="C458" s="4" t="s">
        <v>39</v>
      </c>
      <c r="D458" s="4" t="s">
        <v>55</v>
      </c>
      <c r="E458" s="63">
        <v>1.72</v>
      </c>
      <c r="F458" s="63">
        <v>2.88</v>
      </c>
    </row>
    <row r="459" spans="1:6" x14ac:dyDescent="0.7">
      <c r="A459" s="4">
        <v>6907793</v>
      </c>
      <c r="B459" s="4" t="s">
        <v>607</v>
      </c>
      <c r="C459" s="4" t="s">
        <v>39</v>
      </c>
      <c r="D459" s="4" t="s">
        <v>252</v>
      </c>
      <c r="E459" s="63">
        <v>1.48</v>
      </c>
      <c r="F459" s="63">
        <v>3.69</v>
      </c>
    </row>
    <row r="460" spans="1:6" x14ac:dyDescent="0.7">
      <c r="A460" s="4">
        <v>9383203</v>
      </c>
      <c r="B460" s="4" t="s">
        <v>608</v>
      </c>
      <c r="C460" s="4" t="s">
        <v>39</v>
      </c>
      <c r="D460" s="4" t="s">
        <v>252</v>
      </c>
      <c r="E460" s="63">
        <v>1.88</v>
      </c>
      <c r="F460" s="63">
        <v>2.95</v>
      </c>
    </row>
    <row r="461" spans="1:6" x14ac:dyDescent="0.7">
      <c r="A461" s="4">
        <v>4588129</v>
      </c>
      <c r="B461" s="4" t="s">
        <v>609</v>
      </c>
      <c r="C461" s="4" t="s">
        <v>39</v>
      </c>
      <c r="D461" s="4" t="s">
        <v>252</v>
      </c>
      <c r="E461" s="63">
        <v>1.74</v>
      </c>
      <c r="F461" s="63">
        <v>2.84</v>
      </c>
    </row>
    <row r="462" spans="1:6" x14ac:dyDescent="0.7">
      <c r="A462" s="4">
        <v>3976259</v>
      </c>
      <c r="B462" s="4" t="s">
        <v>610</v>
      </c>
      <c r="C462" s="4" t="s">
        <v>39</v>
      </c>
      <c r="D462" s="4" t="s">
        <v>252</v>
      </c>
      <c r="E462" s="63">
        <v>1.75</v>
      </c>
      <c r="F462" s="63">
        <v>3.46</v>
      </c>
    </row>
    <row r="463" spans="1:6" x14ac:dyDescent="0.7">
      <c r="A463" s="4">
        <v>3792498</v>
      </c>
      <c r="B463" s="4" t="s">
        <v>611</v>
      </c>
      <c r="C463" s="4" t="s">
        <v>39</v>
      </c>
      <c r="D463" s="4" t="s">
        <v>252</v>
      </c>
      <c r="E463" s="63">
        <v>1.1299999999999999</v>
      </c>
      <c r="F463" s="63">
        <v>3.46</v>
      </c>
    </row>
    <row r="464" spans="1:6" x14ac:dyDescent="0.7">
      <c r="A464" s="4">
        <v>7270175</v>
      </c>
      <c r="B464" s="4" t="s">
        <v>612</v>
      </c>
      <c r="C464" s="4" t="s">
        <v>39</v>
      </c>
      <c r="D464" s="4" t="s">
        <v>258</v>
      </c>
      <c r="E464" s="63">
        <v>1.73</v>
      </c>
      <c r="F464" s="63">
        <v>3.1</v>
      </c>
    </row>
    <row r="465" spans="1:6" x14ac:dyDescent="0.7">
      <c r="A465" s="4">
        <v>5290223</v>
      </c>
      <c r="B465" s="4" t="s">
        <v>613</v>
      </c>
      <c r="C465" s="4" t="s">
        <v>39</v>
      </c>
      <c r="D465" s="4" t="s">
        <v>258</v>
      </c>
      <c r="E465" s="63">
        <v>1.44</v>
      </c>
      <c r="F465" s="63">
        <v>2.37</v>
      </c>
    </row>
    <row r="466" spans="1:6" x14ac:dyDescent="0.7">
      <c r="A466" s="4">
        <v>9942549</v>
      </c>
      <c r="B466" s="4" t="s">
        <v>614</v>
      </c>
      <c r="C466" s="4" t="s">
        <v>39</v>
      </c>
      <c r="D466" s="4" t="s">
        <v>258</v>
      </c>
      <c r="E466" s="63">
        <v>1.18</v>
      </c>
      <c r="F466" s="63">
        <v>3.67</v>
      </c>
    </row>
    <row r="467" spans="1:6" x14ac:dyDescent="0.7">
      <c r="A467" s="4">
        <v>1712194</v>
      </c>
      <c r="B467" s="4" t="s">
        <v>615</v>
      </c>
      <c r="C467" s="4" t="s">
        <v>39</v>
      </c>
      <c r="D467" s="4" t="s">
        <v>258</v>
      </c>
      <c r="E467" s="63">
        <v>1.69</v>
      </c>
      <c r="F467" s="63">
        <v>3.21</v>
      </c>
    </row>
    <row r="468" spans="1:6" x14ac:dyDescent="0.7">
      <c r="A468" s="4">
        <v>6374477</v>
      </c>
      <c r="B468" s="4" t="s">
        <v>616</v>
      </c>
      <c r="C468" s="4" t="s">
        <v>39</v>
      </c>
      <c r="D468" s="4" t="s">
        <v>261</v>
      </c>
      <c r="E468" s="63">
        <v>1.26</v>
      </c>
      <c r="F468" s="63">
        <v>2.96</v>
      </c>
    </row>
    <row r="469" spans="1:6" x14ac:dyDescent="0.7">
      <c r="A469" s="4">
        <v>5336706</v>
      </c>
      <c r="B469" s="4" t="s">
        <v>617</v>
      </c>
      <c r="C469" s="4" t="s">
        <v>39</v>
      </c>
      <c r="D469" s="4" t="s">
        <v>261</v>
      </c>
      <c r="E469" s="63">
        <v>1.51</v>
      </c>
      <c r="F469" s="63">
        <v>3.46</v>
      </c>
    </row>
    <row r="470" spans="1:6" x14ac:dyDescent="0.7">
      <c r="A470" s="4">
        <v>1598347</v>
      </c>
      <c r="B470" s="4" t="s">
        <v>618</v>
      </c>
      <c r="C470" s="4" t="s">
        <v>39</v>
      </c>
      <c r="D470" s="4" t="s">
        <v>261</v>
      </c>
      <c r="E470" s="63">
        <v>1.43</v>
      </c>
      <c r="F470" s="63">
        <v>2.77</v>
      </c>
    </row>
    <row r="471" spans="1:6" x14ac:dyDescent="0.7">
      <c r="A471" s="4">
        <v>8844918</v>
      </c>
      <c r="B471" s="4" t="s">
        <v>393</v>
      </c>
      <c r="C471" s="4" t="s">
        <v>39</v>
      </c>
      <c r="D471" s="4" t="s">
        <v>261</v>
      </c>
      <c r="E471" s="63">
        <v>1.84</v>
      </c>
      <c r="F471" s="63">
        <v>3.36</v>
      </c>
    </row>
    <row r="472" spans="1:6" x14ac:dyDescent="0.7">
      <c r="A472" s="4">
        <v>4120538</v>
      </c>
      <c r="B472" s="4" t="s">
        <v>619</v>
      </c>
      <c r="C472" s="4" t="s">
        <v>40</v>
      </c>
      <c r="D472" s="4" t="s">
        <v>52</v>
      </c>
      <c r="E472" s="63">
        <v>1.22</v>
      </c>
      <c r="F472" s="63">
        <v>2.68</v>
      </c>
    </row>
    <row r="473" spans="1:6" x14ac:dyDescent="0.7">
      <c r="A473" s="4">
        <v>6214247</v>
      </c>
      <c r="B473" s="4" t="s">
        <v>620</v>
      </c>
      <c r="C473" s="4" t="s">
        <v>40</v>
      </c>
      <c r="D473" s="4" t="s">
        <v>52</v>
      </c>
      <c r="E473" s="63">
        <v>1.48</v>
      </c>
      <c r="F473" s="63">
        <v>2.77</v>
      </c>
    </row>
    <row r="474" spans="1:6" x14ac:dyDescent="0.7">
      <c r="A474" s="4">
        <v>8389432</v>
      </c>
      <c r="B474" s="4" t="s">
        <v>621</v>
      </c>
      <c r="C474" s="4" t="s">
        <v>40</v>
      </c>
      <c r="D474" s="4" t="s">
        <v>52</v>
      </c>
      <c r="E474" s="63">
        <v>1.55</v>
      </c>
      <c r="F474" s="63">
        <v>2.17</v>
      </c>
    </row>
    <row r="475" spans="1:6" x14ac:dyDescent="0.7">
      <c r="A475" s="4">
        <v>4898636</v>
      </c>
      <c r="B475" s="4" t="s">
        <v>622</v>
      </c>
      <c r="C475" s="4" t="s">
        <v>40</v>
      </c>
      <c r="D475" s="4" t="s">
        <v>52</v>
      </c>
      <c r="E475" s="63">
        <v>1.31</v>
      </c>
      <c r="F475" s="63">
        <v>3.06</v>
      </c>
    </row>
    <row r="476" spans="1:6" x14ac:dyDescent="0.7">
      <c r="A476" s="4">
        <v>3976106</v>
      </c>
      <c r="B476" s="4" t="s">
        <v>623</v>
      </c>
      <c r="C476" s="4" t="s">
        <v>40</v>
      </c>
      <c r="D476" s="4" t="s">
        <v>74</v>
      </c>
      <c r="E476" s="63">
        <v>1.31</v>
      </c>
      <c r="F476" s="63">
        <v>3.15</v>
      </c>
    </row>
    <row r="477" spans="1:6" x14ac:dyDescent="0.7">
      <c r="A477" s="4">
        <v>6935556</v>
      </c>
      <c r="B477" s="4" t="s">
        <v>624</v>
      </c>
      <c r="C477" s="4" t="s">
        <v>40</v>
      </c>
      <c r="D477" s="4" t="s">
        <v>74</v>
      </c>
      <c r="E477" s="63">
        <v>1.19</v>
      </c>
      <c r="F477" s="63">
        <v>3.06</v>
      </c>
    </row>
    <row r="478" spans="1:6" x14ac:dyDescent="0.7">
      <c r="A478" s="4">
        <v>6668881</v>
      </c>
      <c r="B478" s="4" t="s">
        <v>625</v>
      </c>
      <c r="C478" s="4" t="s">
        <v>40</v>
      </c>
      <c r="D478" s="4" t="s">
        <v>74</v>
      </c>
      <c r="E478" s="63">
        <v>1.43</v>
      </c>
      <c r="F478" s="63">
        <v>3.88</v>
      </c>
    </row>
    <row r="479" spans="1:6" x14ac:dyDescent="0.7">
      <c r="A479" s="4">
        <v>3242009</v>
      </c>
      <c r="B479" s="4" t="s">
        <v>626</v>
      </c>
      <c r="C479" s="4" t="s">
        <v>40</v>
      </c>
      <c r="D479" s="4" t="s">
        <v>74</v>
      </c>
      <c r="E479" s="63">
        <v>1.68</v>
      </c>
      <c r="F479" s="63">
        <v>2.5299999999999998</v>
      </c>
    </row>
    <row r="480" spans="1:6" x14ac:dyDescent="0.7">
      <c r="A480" s="4">
        <v>2809862</v>
      </c>
      <c r="B480" s="4" t="s">
        <v>627</v>
      </c>
      <c r="C480" s="4" t="s">
        <v>40</v>
      </c>
      <c r="D480" s="4" t="s">
        <v>76</v>
      </c>
      <c r="E480" s="63">
        <v>1.65</v>
      </c>
      <c r="F480" s="63">
        <v>3.74</v>
      </c>
    </row>
    <row r="481" spans="1:6" x14ac:dyDescent="0.7">
      <c r="A481" s="4">
        <v>7463688</v>
      </c>
      <c r="B481" s="4" t="s">
        <v>628</v>
      </c>
      <c r="C481" s="4" t="s">
        <v>40</v>
      </c>
      <c r="D481" s="4" t="s">
        <v>76</v>
      </c>
      <c r="E481" s="63">
        <v>1.48</v>
      </c>
      <c r="F481" s="63">
        <v>2.86</v>
      </c>
    </row>
    <row r="482" spans="1:6" x14ac:dyDescent="0.7">
      <c r="A482" s="4">
        <v>6075180</v>
      </c>
      <c r="B482" s="4" t="s">
        <v>629</v>
      </c>
      <c r="C482" s="4" t="s">
        <v>40</v>
      </c>
      <c r="D482" s="4" t="s">
        <v>76</v>
      </c>
      <c r="E482" s="63">
        <v>1.85</v>
      </c>
      <c r="F482" s="63">
        <v>2.46</v>
      </c>
    </row>
    <row r="483" spans="1:6" x14ac:dyDescent="0.7">
      <c r="A483" s="4">
        <v>9048337</v>
      </c>
      <c r="B483" s="4" t="s">
        <v>630</v>
      </c>
      <c r="C483" s="4" t="s">
        <v>40</v>
      </c>
      <c r="D483" s="4" t="s">
        <v>76</v>
      </c>
      <c r="E483" s="63">
        <v>1.65</v>
      </c>
      <c r="F483" s="63">
        <v>2.0099999999999998</v>
      </c>
    </row>
    <row r="484" spans="1:6" x14ac:dyDescent="0.7">
      <c r="A484" s="4">
        <v>6111182</v>
      </c>
      <c r="B484" s="4" t="s">
        <v>631</v>
      </c>
      <c r="C484" s="4" t="s">
        <v>40</v>
      </c>
      <c r="D484" s="4" t="s">
        <v>76</v>
      </c>
      <c r="E484" s="63">
        <v>1.1399999999999999</v>
      </c>
      <c r="F484" s="63">
        <v>2.87</v>
      </c>
    </row>
    <row r="485" spans="1:6" x14ac:dyDescent="0.7">
      <c r="A485" s="4">
        <v>2621347</v>
      </c>
      <c r="B485" s="4" t="s">
        <v>632</v>
      </c>
      <c r="C485" s="4" t="s">
        <v>40</v>
      </c>
      <c r="D485" s="4" t="s">
        <v>85</v>
      </c>
      <c r="E485" s="63">
        <v>1.63</v>
      </c>
      <c r="F485" s="63">
        <v>2.46</v>
      </c>
    </row>
    <row r="486" spans="1:6" x14ac:dyDescent="0.7">
      <c r="A486" s="4">
        <v>1819175</v>
      </c>
      <c r="B486" s="4" t="s">
        <v>633</v>
      </c>
      <c r="C486" s="4" t="s">
        <v>40</v>
      </c>
      <c r="D486" s="4" t="s">
        <v>85</v>
      </c>
      <c r="E486" s="63">
        <v>1.62</v>
      </c>
      <c r="F486" s="63">
        <v>2.76</v>
      </c>
    </row>
    <row r="487" spans="1:6" x14ac:dyDescent="0.7">
      <c r="A487" s="4">
        <v>9885761</v>
      </c>
      <c r="B487" s="4" t="s">
        <v>634</v>
      </c>
      <c r="C487" s="4" t="s">
        <v>40</v>
      </c>
      <c r="D487" s="4" t="s">
        <v>85</v>
      </c>
      <c r="E487" s="63">
        <v>1.39</v>
      </c>
      <c r="F487" s="63">
        <v>2.84</v>
      </c>
    </row>
    <row r="488" spans="1:6" x14ac:dyDescent="0.7">
      <c r="A488" s="4">
        <v>3111362</v>
      </c>
      <c r="B488" s="4" t="s">
        <v>635</v>
      </c>
      <c r="C488" s="4" t="s">
        <v>40</v>
      </c>
      <c r="D488" s="4" t="s">
        <v>85</v>
      </c>
      <c r="E488" s="63">
        <v>1.07</v>
      </c>
      <c r="F488" s="63">
        <v>3.92</v>
      </c>
    </row>
    <row r="489" spans="1:6" x14ac:dyDescent="0.7">
      <c r="A489" s="4">
        <v>9197913</v>
      </c>
      <c r="B489" s="4" t="s">
        <v>636</v>
      </c>
      <c r="C489" s="4" t="s">
        <v>40</v>
      </c>
      <c r="D489" s="4" t="s">
        <v>85</v>
      </c>
      <c r="E489" s="63">
        <v>1.48</v>
      </c>
      <c r="F489" s="63">
        <v>3.01</v>
      </c>
    </row>
    <row r="490" spans="1:6" x14ac:dyDescent="0.7">
      <c r="A490" s="4">
        <v>8376719</v>
      </c>
      <c r="B490" s="4" t="s">
        <v>637</v>
      </c>
      <c r="C490" s="4" t="s">
        <v>40</v>
      </c>
      <c r="D490" s="4" t="s">
        <v>278</v>
      </c>
      <c r="E490" s="63">
        <v>1.26</v>
      </c>
      <c r="F490" s="63">
        <v>2.2200000000000002</v>
      </c>
    </row>
    <row r="491" spans="1:6" x14ac:dyDescent="0.7">
      <c r="A491" s="4">
        <v>1891764</v>
      </c>
      <c r="B491" s="4" t="s">
        <v>638</v>
      </c>
      <c r="C491" s="4" t="s">
        <v>40</v>
      </c>
      <c r="D491" s="4" t="s">
        <v>278</v>
      </c>
      <c r="E491" s="63">
        <v>1.68</v>
      </c>
      <c r="F491" s="63">
        <v>3.84</v>
      </c>
    </row>
    <row r="492" spans="1:6" x14ac:dyDescent="0.7">
      <c r="A492" s="4">
        <v>8068075</v>
      </c>
      <c r="B492" s="4" t="s">
        <v>639</v>
      </c>
      <c r="C492" s="4" t="s">
        <v>40</v>
      </c>
      <c r="D492" s="4" t="s">
        <v>278</v>
      </c>
      <c r="E492" s="63">
        <v>1.84</v>
      </c>
      <c r="F492" s="63">
        <v>2.63</v>
      </c>
    </row>
    <row r="493" spans="1:6" x14ac:dyDescent="0.7">
      <c r="A493" s="4">
        <v>2732730</v>
      </c>
      <c r="B493" s="4" t="s">
        <v>640</v>
      </c>
      <c r="C493" s="4" t="s">
        <v>40</v>
      </c>
      <c r="D493" s="4" t="s">
        <v>278</v>
      </c>
      <c r="E493" s="63">
        <v>1.82</v>
      </c>
      <c r="F493" s="63">
        <v>3.48</v>
      </c>
    </row>
    <row r="494" spans="1:6" x14ac:dyDescent="0.7">
      <c r="A494" s="4">
        <v>7091118</v>
      </c>
      <c r="B494" s="4" t="s">
        <v>641</v>
      </c>
      <c r="C494" s="4" t="s">
        <v>40</v>
      </c>
      <c r="D494" s="4" t="s">
        <v>282</v>
      </c>
      <c r="E494" s="63">
        <v>1.57</v>
      </c>
      <c r="F494" s="63">
        <v>3.49</v>
      </c>
    </row>
    <row r="495" spans="1:6" x14ac:dyDescent="0.7">
      <c r="A495" s="4">
        <v>9714934</v>
      </c>
      <c r="B495" s="4" t="s">
        <v>642</v>
      </c>
      <c r="C495" s="4" t="s">
        <v>40</v>
      </c>
      <c r="D495" s="4" t="s">
        <v>282</v>
      </c>
      <c r="E495" s="63">
        <v>1.34</v>
      </c>
      <c r="F495" s="63">
        <v>3.68</v>
      </c>
    </row>
    <row r="496" spans="1:6" x14ac:dyDescent="0.7">
      <c r="A496" s="4">
        <v>2436654</v>
      </c>
      <c r="B496" s="4" t="s">
        <v>643</v>
      </c>
      <c r="C496" s="4" t="s">
        <v>40</v>
      </c>
      <c r="D496" s="4" t="s">
        <v>282</v>
      </c>
      <c r="E496" s="63">
        <v>1.22</v>
      </c>
      <c r="F496" s="63">
        <v>2.16</v>
      </c>
    </row>
    <row r="497" spans="1:6" x14ac:dyDescent="0.7">
      <c r="A497" s="4">
        <v>7340453</v>
      </c>
      <c r="B497" s="4" t="s">
        <v>644</v>
      </c>
      <c r="C497" s="4" t="s">
        <v>40</v>
      </c>
      <c r="D497" s="4" t="s">
        <v>282</v>
      </c>
      <c r="E497" s="63">
        <v>1.57</v>
      </c>
      <c r="F497" s="63">
        <v>3.74</v>
      </c>
    </row>
    <row r="498" spans="1:6" x14ac:dyDescent="0.7">
      <c r="A498" s="4">
        <v>7950778</v>
      </c>
      <c r="B498" s="4" t="s">
        <v>645</v>
      </c>
      <c r="C498" s="4" t="s">
        <v>40</v>
      </c>
      <c r="D498" s="4" t="s">
        <v>88</v>
      </c>
      <c r="E498" s="63">
        <v>1.08</v>
      </c>
      <c r="F498" s="63">
        <v>2.97</v>
      </c>
    </row>
    <row r="499" spans="1:6" x14ac:dyDescent="0.7">
      <c r="A499" s="4">
        <v>6805406</v>
      </c>
      <c r="B499" s="4" t="s">
        <v>646</v>
      </c>
      <c r="C499" s="4" t="s">
        <v>40</v>
      </c>
      <c r="D499" s="4" t="s">
        <v>88</v>
      </c>
      <c r="E499" s="63">
        <v>1.58</v>
      </c>
      <c r="F499" s="63">
        <v>3.84</v>
      </c>
    </row>
    <row r="500" spans="1:6" x14ac:dyDescent="0.7">
      <c r="A500" s="4">
        <v>9277596</v>
      </c>
      <c r="B500" s="4" t="s">
        <v>647</v>
      </c>
      <c r="C500" s="4" t="s">
        <v>40</v>
      </c>
      <c r="D500" s="4" t="s">
        <v>88</v>
      </c>
      <c r="E500" s="63">
        <v>1.44</v>
      </c>
      <c r="F500" s="63">
        <v>3.7</v>
      </c>
    </row>
    <row r="501" spans="1:6" x14ac:dyDescent="0.7">
      <c r="A501" s="4">
        <v>6478221</v>
      </c>
      <c r="B501" s="4" t="s">
        <v>648</v>
      </c>
      <c r="C501" s="4" t="s">
        <v>40</v>
      </c>
      <c r="D501" s="4" t="s">
        <v>88</v>
      </c>
      <c r="E501" s="63">
        <v>1.51</v>
      </c>
      <c r="F501" s="63">
        <v>2.36</v>
      </c>
    </row>
    <row r="502" spans="1:6" x14ac:dyDescent="0.7">
      <c r="A502" s="4">
        <v>8581639</v>
      </c>
      <c r="B502" s="4" t="s">
        <v>649</v>
      </c>
      <c r="C502" s="4" t="s">
        <v>40</v>
      </c>
      <c r="D502" s="4" t="s">
        <v>292</v>
      </c>
      <c r="E502" s="63">
        <v>1.99</v>
      </c>
      <c r="F502" s="63">
        <v>2</v>
      </c>
    </row>
    <row r="503" spans="1:6" x14ac:dyDescent="0.7">
      <c r="A503" s="4">
        <v>2402434</v>
      </c>
      <c r="B503" s="4" t="s">
        <v>650</v>
      </c>
      <c r="C503" s="4" t="s">
        <v>40</v>
      </c>
      <c r="D503" s="4" t="s">
        <v>292</v>
      </c>
      <c r="E503" s="63">
        <v>1.8</v>
      </c>
      <c r="F503" s="63">
        <v>2.4500000000000002</v>
      </c>
    </row>
    <row r="504" spans="1:6" x14ac:dyDescent="0.7">
      <c r="A504" s="4">
        <v>9707559</v>
      </c>
      <c r="B504" s="4" t="s">
        <v>651</v>
      </c>
      <c r="C504" s="4" t="s">
        <v>40</v>
      </c>
      <c r="D504" s="4" t="s">
        <v>292</v>
      </c>
      <c r="E504" s="63">
        <v>1.23</v>
      </c>
      <c r="F504" s="63">
        <v>3.99</v>
      </c>
    </row>
    <row r="505" spans="1:6" x14ac:dyDescent="0.7">
      <c r="A505" s="4">
        <v>1880924</v>
      </c>
      <c r="B505" s="4" t="s">
        <v>652</v>
      </c>
      <c r="C505" s="4" t="s">
        <v>40</v>
      </c>
      <c r="D505" s="4" t="s">
        <v>292</v>
      </c>
      <c r="E505" s="63">
        <v>1.85</v>
      </c>
      <c r="F505" s="63">
        <v>2.73</v>
      </c>
    </row>
    <row r="506" spans="1:6" x14ac:dyDescent="0.7">
      <c r="A506" s="4">
        <v>5093440</v>
      </c>
      <c r="B506" s="4" t="s">
        <v>653</v>
      </c>
      <c r="C506" s="4" t="s">
        <v>40</v>
      </c>
      <c r="D506" s="4" t="s">
        <v>379</v>
      </c>
      <c r="E506" s="63">
        <v>1.72</v>
      </c>
      <c r="F506" s="63">
        <v>2.34</v>
      </c>
    </row>
    <row r="507" spans="1:6" x14ac:dyDescent="0.7">
      <c r="A507" s="4">
        <v>3856102</v>
      </c>
      <c r="B507" s="4" t="s">
        <v>654</v>
      </c>
      <c r="C507" s="4" t="s">
        <v>40</v>
      </c>
      <c r="D507" s="4" t="s">
        <v>379</v>
      </c>
      <c r="E507" s="63">
        <v>1.1000000000000001</v>
      </c>
      <c r="F507" s="63">
        <v>2.2400000000000002</v>
      </c>
    </row>
    <row r="508" spans="1:6" x14ac:dyDescent="0.7">
      <c r="A508" s="4">
        <v>3224833</v>
      </c>
      <c r="B508" s="4" t="s">
        <v>655</v>
      </c>
      <c r="C508" s="4" t="s">
        <v>40</v>
      </c>
      <c r="D508" s="4" t="s">
        <v>379</v>
      </c>
      <c r="E508" s="63">
        <v>1.39</v>
      </c>
      <c r="F508" s="63">
        <v>2.19</v>
      </c>
    </row>
    <row r="509" spans="1:6" x14ac:dyDescent="0.7">
      <c r="A509" s="4">
        <v>6855521</v>
      </c>
      <c r="B509" s="4" t="s">
        <v>656</v>
      </c>
      <c r="C509" s="4" t="s">
        <v>40</v>
      </c>
      <c r="D509" s="4" t="s">
        <v>379</v>
      </c>
      <c r="E509" s="63">
        <v>1.52</v>
      </c>
      <c r="F509" s="63">
        <v>3.96</v>
      </c>
    </row>
    <row r="510" spans="1:6" x14ac:dyDescent="0.7">
      <c r="A510" s="4">
        <v>8447845</v>
      </c>
      <c r="B510" s="4" t="s">
        <v>657</v>
      </c>
      <c r="C510" s="4" t="s">
        <v>40</v>
      </c>
      <c r="D510" s="4" t="s">
        <v>103</v>
      </c>
      <c r="E510" s="63">
        <v>1.45</v>
      </c>
      <c r="F510" s="63">
        <v>3.25</v>
      </c>
    </row>
    <row r="511" spans="1:6" x14ac:dyDescent="0.7">
      <c r="A511" s="4">
        <v>1987799</v>
      </c>
      <c r="B511" s="4" t="s">
        <v>658</v>
      </c>
      <c r="C511" s="4" t="s">
        <v>40</v>
      </c>
      <c r="D511" s="4" t="s">
        <v>103</v>
      </c>
      <c r="E511" s="63">
        <v>1.83</v>
      </c>
      <c r="F511" s="63">
        <v>3.07</v>
      </c>
    </row>
    <row r="512" spans="1:6" x14ac:dyDescent="0.7">
      <c r="A512" s="4">
        <v>8998593</v>
      </c>
      <c r="B512" s="4" t="s">
        <v>315</v>
      </c>
      <c r="C512" s="4" t="s">
        <v>40</v>
      </c>
      <c r="D512" s="4" t="s">
        <v>103</v>
      </c>
      <c r="E512" s="63">
        <v>1.04</v>
      </c>
      <c r="F512" s="63">
        <v>3.4</v>
      </c>
    </row>
    <row r="513" spans="1:6" x14ac:dyDescent="0.7">
      <c r="A513" s="4">
        <v>2261563</v>
      </c>
      <c r="B513" s="4" t="s">
        <v>659</v>
      </c>
      <c r="C513" s="4" t="s">
        <v>40</v>
      </c>
      <c r="D513" s="4" t="s">
        <v>103</v>
      </c>
      <c r="E513" s="63">
        <v>1.44</v>
      </c>
      <c r="F513" s="63">
        <v>2.11</v>
      </c>
    </row>
    <row r="514" spans="1:6" x14ac:dyDescent="0.7">
      <c r="A514" s="4">
        <v>9036485</v>
      </c>
      <c r="B514" s="4" t="s">
        <v>660</v>
      </c>
      <c r="C514" s="4" t="s">
        <v>41</v>
      </c>
      <c r="D514" s="4" t="s">
        <v>50</v>
      </c>
      <c r="E514" s="63">
        <v>1.79</v>
      </c>
      <c r="F514" s="63">
        <v>2.2400000000000002</v>
      </c>
    </row>
    <row r="515" spans="1:6" x14ac:dyDescent="0.7">
      <c r="A515" s="4">
        <v>4663607</v>
      </c>
      <c r="B515" s="4" t="s">
        <v>383</v>
      </c>
      <c r="C515" s="4" t="s">
        <v>41</v>
      </c>
      <c r="D515" s="4" t="s">
        <v>50</v>
      </c>
      <c r="E515" s="63">
        <v>1.85</v>
      </c>
      <c r="F515" s="63">
        <v>2.25</v>
      </c>
    </row>
    <row r="516" spans="1:6" x14ac:dyDescent="0.7">
      <c r="A516" s="4">
        <v>6967323</v>
      </c>
      <c r="B516" s="4" t="s">
        <v>661</v>
      </c>
      <c r="C516" s="4" t="s">
        <v>41</v>
      </c>
      <c r="D516" s="4" t="s">
        <v>50</v>
      </c>
      <c r="E516" s="63">
        <v>1.58</v>
      </c>
      <c r="F516" s="63">
        <v>3.69</v>
      </c>
    </row>
    <row r="517" spans="1:6" x14ac:dyDescent="0.7">
      <c r="A517" s="4">
        <v>9146091</v>
      </c>
      <c r="B517" s="4" t="s">
        <v>662</v>
      </c>
      <c r="C517" s="4" t="s">
        <v>41</v>
      </c>
      <c r="D517" s="4" t="s">
        <v>50</v>
      </c>
      <c r="E517" s="63">
        <v>1.37</v>
      </c>
      <c r="F517" s="63">
        <v>2.88</v>
      </c>
    </row>
    <row r="518" spans="1:6" x14ac:dyDescent="0.7">
      <c r="A518" s="4">
        <v>1377219</v>
      </c>
      <c r="B518" s="4" t="s">
        <v>663</v>
      </c>
      <c r="C518" s="4" t="s">
        <v>41</v>
      </c>
      <c r="D518" s="4" t="s">
        <v>50</v>
      </c>
      <c r="E518" s="63">
        <v>1.49</v>
      </c>
      <c r="F518" s="63">
        <v>2.3199999999999998</v>
      </c>
    </row>
    <row r="519" spans="1:6" x14ac:dyDescent="0.7">
      <c r="A519" s="4">
        <v>4697693</v>
      </c>
      <c r="B519" s="4" t="s">
        <v>664</v>
      </c>
      <c r="C519" s="4" t="s">
        <v>41</v>
      </c>
      <c r="D519" s="4" t="s">
        <v>53</v>
      </c>
      <c r="E519" s="63">
        <v>1.36</v>
      </c>
      <c r="F519" s="63">
        <v>2.66</v>
      </c>
    </row>
    <row r="520" spans="1:6" x14ac:dyDescent="0.7">
      <c r="A520" s="4">
        <v>6005938</v>
      </c>
      <c r="B520" s="4" t="s">
        <v>327</v>
      </c>
      <c r="C520" s="4" t="s">
        <v>41</v>
      </c>
      <c r="D520" s="4" t="s">
        <v>53</v>
      </c>
      <c r="E520" s="63">
        <v>1.68</v>
      </c>
      <c r="F520" s="63">
        <v>2.2799999999999998</v>
      </c>
    </row>
    <row r="521" spans="1:6" x14ac:dyDescent="0.7">
      <c r="A521" s="4">
        <v>4816522</v>
      </c>
      <c r="B521" s="4" t="s">
        <v>321</v>
      </c>
      <c r="C521" s="4" t="s">
        <v>41</v>
      </c>
      <c r="D521" s="4" t="s">
        <v>53</v>
      </c>
      <c r="E521" s="63">
        <v>1.41</v>
      </c>
      <c r="F521" s="63">
        <v>2.85</v>
      </c>
    </row>
    <row r="522" spans="1:6" x14ac:dyDescent="0.7">
      <c r="A522" s="4">
        <v>7311041</v>
      </c>
      <c r="B522" s="4" t="s">
        <v>665</v>
      </c>
      <c r="C522" s="4" t="s">
        <v>41</v>
      </c>
      <c r="D522" s="4" t="s">
        <v>53</v>
      </c>
      <c r="E522" s="63">
        <v>1.31</v>
      </c>
      <c r="F522" s="63">
        <v>2.62</v>
      </c>
    </row>
    <row r="523" spans="1:6" x14ac:dyDescent="0.7">
      <c r="A523" s="4">
        <v>9420816</v>
      </c>
      <c r="B523" s="4" t="s">
        <v>666</v>
      </c>
      <c r="C523" s="4" t="s">
        <v>41</v>
      </c>
      <c r="D523" s="4" t="s">
        <v>53</v>
      </c>
      <c r="E523" s="63">
        <v>1.58</v>
      </c>
      <c r="F523" s="63">
        <v>3.27</v>
      </c>
    </row>
    <row r="524" spans="1:6" x14ac:dyDescent="0.7">
      <c r="A524" s="4">
        <v>3523290</v>
      </c>
      <c r="B524" s="4" t="s">
        <v>667</v>
      </c>
      <c r="C524" s="4" t="s">
        <v>41</v>
      </c>
      <c r="D524" s="4" t="s">
        <v>55</v>
      </c>
      <c r="E524" s="63">
        <v>1.64</v>
      </c>
      <c r="F524" s="63">
        <v>3.51</v>
      </c>
    </row>
    <row r="525" spans="1:6" x14ac:dyDescent="0.7">
      <c r="A525" s="4">
        <v>4894477</v>
      </c>
      <c r="B525" s="4" t="s">
        <v>668</v>
      </c>
      <c r="C525" s="4" t="s">
        <v>41</v>
      </c>
      <c r="D525" s="4" t="s">
        <v>55</v>
      </c>
      <c r="E525" s="63">
        <v>1.9</v>
      </c>
      <c r="F525" s="63">
        <v>3.76</v>
      </c>
    </row>
    <row r="526" spans="1:6" x14ac:dyDescent="0.7">
      <c r="A526" s="4">
        <v>8560979</v>
      </c>
      <c r="B526" s="4" t="s">
        <v>669</v>
      </c>
      <c r="C526" s="4" t="s">
        <v>41</v>
      </c>
      <c r="D526" s="4" t="s">
        <v>55</v>
      </c>
      <c r="E526" s="63">
        <v>1.01</v>
      </c>
      <c r="F526" s="63">
        <v>3.12</v>
      </c>
    </row>
    <row r="527" spans="1:6" x14ac:dyDescent="0.7">
      <c r="A527" s="4">
        <v>6249368</v>
      </c>
      <c r="B527" s="4" t="s">
        <v>670</v>
      </c>
      <c r="C527" s="4" t="s">
        <v>41</v>
      </c>
      <c r="D527" s="4" t="s">
        <v>55</v>
      </c>
      <c r="E527" s="63">
        <v>1.1000000000000001</v>
      </c>
      <c r="F527" s="63">
        <v>2.66</v>
      </c>
    </row>
    <row r="528" spans="1:6" x14ac:dyDescent="0.7">
      <c r="A528" s="4">
        <v>4615966</v>
      </c>
      <c r="B528" s="4" t="s">
        <v>671</v>
      </c>
      <c r="C528" s="4" t="s">
        <v>41</v>
      </c>
      <c r="D528" s="4" t="s">
        <v>54</v>
      </c>
      <c r="E528" s="63">
        <v>1.4</v>
      </c>
      <c r="F528" s="63">
        <v>2</v>
      </c>
    </row>
    <row r="529" spans="1:6" x14ac:dyDescent="0.7">
      <c r="A529" s="4">
        <v>9746343</v>
      </c>
      <c r="B529" s="4" t="s">
        <v>672</v>
      </c>
      <c r="C529" s="4" t="s">
        <v>41</v>
      </c>
      <c r="D529" s="4" t="s">
        <v>54</v>
      </c>
      <c r="E529" s="63">
        <v>1.61</v>
      </c>
      <c r="F529" s="63">
        <v>2.95</v>
      </c>
    </row>
    <row r="530" spans="1:6" x14ac:dyDescent="0.7">
      <c r="A530" s="4">
        <v>4544000</v>
      </c>
      <c r="B530" s="4" t="s">
        <v>673</v>
      </c>
      <c r="C530" s="4" t="s">
        <v>41</v>
      </c>
      <c r="D530" s="4" t="s">
        <v>54</v>
      </c>
      <c r="E530" s="63">
        <v>1.2</v>
      </c>
      <c r="F530" s="63">
        <v>2.72</v>
      </c>
    </row>
    <row r="531" spans="1:6" x14ac:dyDescent="0.7">
      <c r="A531" s="4">
        <v>8115323</v>
      </c>
      <c r="B531" s="4" t="s">
        <v>674</v>
      </c>
      <c r="C531" s="4" t="s">
        <v>41</v>
      </c>
      <c r="D531" s="4" t="s">
        <v>54</v>
      </c>
      <c r="E531" s="63">
        <v>1.43</v>
      </c>
      <c r="F531" s="63">
        <v>3.98</v>
      </c>
    </row>
    <row r="532" spans="1:6" x14ac:dyDescent="0.7">
      <c r="A532" s="4">
        <v>1648158</v>
      </c>
      <c r="B532" s="4" t="s">
        <v>675</v>
      </c>
      <c r="C532" s="4" t="s">
        <v>41</v>
      </c>
      <c r="D532" s="4" t="s">
        <v>56</v>
      </c>
      <c r="E532" s="63">
        <v>1.47</v>
      </c>
      <c r="F532" s="63">
        <v>3.73</v>
      </c>
    </row>
    <row r="533" spans="1:6" x14ac:dyDescent="0.7">
      <c r="A533" s="4">
        <v>3113952</v>
      </c>
      <c r="B533" s="4" t="s">
        <v>676</v>
      </c>
      <c r="C533" s="4" t="s">
        <v>41</v>
      </c>
      <c r="D533" s="4" t="s">
        <v>56</v>
      </c>
      <c r="E533" s="63">
        <v>1.21</v>
      </c>
      <c r="F533" s="63">
        <v>2.4</v>
      </c>
    </row>
    <row r="534" spans="1:6" x14ac:dyDescent="0.7">
      <c r="A534" s="4">
        <v>9576835</v>
      </c>
      <c r="B534" s="4" t="s">
        <v>677</v>
      </c>
      <c r="C534" s="4" t="s">
        <v>41</v>
      </c>
      <c r="D534" s="4" t="s">
        <v>56</v>
      </c>
      <c r="E534" s="63">
        <v>1.3</v>
      </c>
      <c r="F534" s="63">
        <v>2.25</v>
      </c>
    </row>
    <row r="535" spans="1:6" x14ac:dyDescent="0.7">
      <c r="A535" s="4">
        <v>2497032</v>
      </c>
      <c r="B535" s="4" t="s">
        <v>678</v>
      </c>
      <c r="C535" s="4" t="s">
        <v>41</v>
      </c>
      <c r="D535" s="4" t="s">
        <v>56</v>
      </c>
      <c r="E535" s="63">
        <v>1.47</v>
      </c>
      <c r="F535" s="63">
        <v>2.1</v>
      </c>
    </row>
    <row r="536" spans="1:6" x14ac:dyDescent="0.7">
      <c r="A536" s="4">
        <v>4869485</v>
      </c>
      <c r="B536" s="4" t="s">
        <v>679</v>
      </c>
      <c r="C536" s="4" t="s">
        <v>41</v>
      </c>
      <c r="D536" s="4" t="s">
        <v>57</v>
      </c>
      <c r="E536" s="63">
        <v>1.91</v>
      </c>
      <c r="F536" s="63">
        <v>2.42</v>
      </c>
    </row>
    <row r="537" spans="1:6" x14ac:dyDescent="0.7">
      <c r="A537" s="4">
        <v>3988345</v>
      </c>
      <c r="B537" s="4" t="s">
        <v>680</v>
      </c>
      <c r="C537" s="4" t="s">
        <v>41</v>
      </c>
      <c r="D537" s="4" t="s">
        <v>57</v>
      </c>
      <c r="E537" s="63">
        <v>1.97</v>
      </c>
      <c r="F537" s="63">
        <v>2.64</v>
      </c>
    </row>
    <row r="538" spans="1:6" x14ac:dyDescent="0.7">
      <c r="A538" s="4">
        <v>4193298</v>
      </c>
      <c r="B538" s="4" t="s">
        <v>681</v>
      </c>
      <c r="C538" s="4" t="s">
        <v>41</v>
      </c>
      <c r="D538" s="4" t="s">
        <v>57</v>
      </c>
      <c r="E538" s="63">
        <v>1.65</v>
      </c>
      <c r="F538" s="63">
        <v>2.0099999999999998</v>
      </c>
    </row>
    <row r="539" spans="1:6" x14ac:dyDescent="0.7">
      <c r="A539" s="4">
        <v>8753903</v>
      </c>
      <c r="B539" s="4" t="s">
        <v>682</v>
      </c>
      <c r="C539" s="4" t="s">
        <v>41</v>
      </c>
      <c r="D539" s="4" t="s">
        <v>57</v>
      </c>
      <c r="E539" s="63">
        <v>1.2</v>
      </c>
      <c r="F539" s="63">
        <v>2.76</v>
      </c>
    </row>
    <row r="540" spans="1:6" x14ac:dyDescent="0.7">
      <c r="A540" s="4">
        <v>3857506</v>
      </c>
      <c r="B540" s="4" t="s">
        <v>683</v>
      </c>
      <c r="C540" s="4" t="s">
        <v>41</v>
      </c>
      <c r="D540" s="4" t="s">
        <v>314</v>
      </c>
      <c r="E540" s="63">
        <v>1.26</v>
      </c>
      <c r="F540" s="63">
        <v>3.7</v>
      </c>
    </row>
    <row r="541" spans="1:6" x14ac:dyDescent="0.7">
      <c r="A541" s="4">
        <v>6801957</v>
      </c>
      <c r="B541" s="4" t="s">
        <v>684</v>
      </c>
      <c r="C541" s="4" t="s">
        <v>41</v>
      </c>
      <c r="D541" s="4" t="s">
        <v>314</v>
      </c>
      <c r="E541" s="63">
        <v>1.69</v>
      </c>
      <c r="F541" s="63">
        <v>3.33</v>
      </c>
    </row>
    <row r="542" spans="1:6" x14ac:dyDescent="0.7">
      <c r="A542" s="4">
        <v>7078910</v>
      </c>
      <c r="B542" s="4" t="s">
        <v>685</v>
      </c>
      <c r="C542" s="4" t="s">
        <v>41</v>
      </c>
      <c r="D542" s="4" t="s">
        <v>314</v>
      </c>
      <c r="E542" s="63">
        <v>1.18</v>
      </c>
      <c r="F542" s="63">
        <v>3.01</v>
      </c>
    </row>
    <row r="543" spans="1:6" x14ac:dyDescent="0.7">
      <c r="A543" s="4">
        <v>9538302</v>
      </c>
      <c r="B543" s="4" t="s">
        <v>686</v>
      </c>
      <c r="C543" s="4" t="s">
        <v>41</v>
      </c>
      <c r="D543" s="4" t="s">
        <v>314</v>
      </c>
      <c r="E543" s="63">
        <v>1.19</v>
      </c>
      <c r="F543" s="63">
        <v>3.02</v>
      </c>
    </row>
    <row r="544" spans="1:6" x14ac:dyDescent="0.7">
      <c r="A544" s="4">
        <v>7593295</v>
      </c>
      <c r="B544" s="4" t="s">
        <v>687</v>
      </c>
      <c r="C544" s="4" t="s">
        <v>41</v>
      </c>
      <c r="D544" s="4" t="s">
        <v>238</v>
      </c>
      <c r="E544" s="63">
        <v>1.33</v>
      </c>
      <c r="F544" s="63">
        <v>2.0499999999999998</v>
      </c>
    </row>
    <row r="545" spans="1:6" x14ac:dyDescent="0.7">
      <c r="A545" s="4">
        <v>3727948</v>
      </c>
      <c r="B545" s="4" t="s">
        <v>688</v>
      </c>
      <c r="C545" s="4" t="s">
        <v>41</v>
      </c>
      <c r="D545" s="4" t="s">
        <v>238</v>
      </c>
      <c r="E545" s="63">
        <v>1.2</v>
      </c>
      <c r="F545" s="63">
        <v>3.07</v>
      </c>
    </row>
    <row r="546" spans="1:6" x14ac:dyDescent="0.7">
      <c r="A546" s="4">
        <v>4671280</v>
      </c>
      <c r="B546" s="4" t="s">
        <v>689</v>
      </c>
      <c r="C546" s="4" t="s">
        <v>41</v>
      </c>
      <c r="D546" s="4" t="s">
        <v>238</v>
      </c>
      <c r="E546" s="63">
        <v>1.38</v>
      </c>
      <c r="F546" s="63">
        <v>3.8</v>
      </c>
    </row>
    <row r="547" spans="1:6" x14ac:dyDescent="0.7">
      <c r="A547" s="4">
        <v>1349227</v>
      </c>
      <c r="B547" s="4" t="s">
        <v>690</v>
      </c>
      <c r="C547" s="4" t="s">
        <v>41</v>
      </c>
      <c r="D547" s="4" t="s">
        <v>238</v>
      </c>
      <c r="E547" s="63">
        <v>1.97</v>
      </c>
      <c r="F547" s="63">
        <v>3.68</v>
      </c>
    </row>
    <row r="548" spans="1:6" x14ac:dyDescent="0.7">
      <c r="A548" s="4">
        <v>6681763</v>
      </c>
      <c r="B548" s="4" t="s">
        <v>691</v>
      </c>
      <c r="C548" s="4" t="s">
        <v>41</v>
      </c>
      <c r="D548" s="4" t="s">
        <v>95</v>
      </c>
      <c r="E548" s="63">
        <v>1.48</v>
      </c>
      <c r="F548" s="63">
        <v>3.78</v>
      </c>
    </row>
    <row r="549" spans="1:6" x14ac:dyDescent="0.7">
      <c r="A549" s="4">
        <v>9536262</v>
      </c>
      <c r="B549" s="4" t="s">
        <v>692</v>
      </c>
      <c r="C549" s="4" t="s">
        <v>41</v>
      </c>
      <c r="D549" s="4" t="s">
        <v>95</v>
      </c>
      <c r="E549" s="63">
        <v>1.07</v>
      </c>
      <c r="F549" s="63">
        <v>2.0099999999999998</v>
      </c>
    </row>
    <row r="550" spans="1:6" x14ac:dyDescent="0.7">
      <c r="A550" s="4">
        <v>7085608</v>
      </c>
      <c r="B550" s="4" t="s">
        <v>693</v>
      </c>
      <c r="C550" s="4" t="s">
        <v>41</v>
      </c>
      <c r="D550" s="4" t="s">
        <v>95</v>
      </c>
      <c r="E550" s="63">
        <v>1.18</v>
      </c>
      <c r="F550" s="63">
        <v>3.32</v>
      </c>
    </row>
    <row r="551" spans="1:6" x14ac:dyDescent="0.7">
      <c r="A551" s="4">
        <v>5467917</v>
      </c>
      <c r="B551" s="4" t="s">
        <v>694</v>
      </c>
      <c r="C551" s="4" t="s">
        <v>41</v>
      </c>
      <c r="D551" s="4" t="s">
        <v>95</v>
      </c>
      <c r="E551" s="63">
        <v>1.02</v>
      </c>
      <c r="F551" s="63">
        <v>3.38</v>
      </c>
    </row>
    <row r="552" spans="1:6" x14ac:dyDescent="0.7">
      <c r="A552" s="4">
        <v>7720038</v>
      </c>
      <c r="B552" s="4" t="s">
        <v>695</v>
      </c>
      <c r="C552" s="4" t="s">
        <v>41</v>
      </c>
      <c r="D552" s="4" t="s">
        <v>95</v>
      </c>
      <c r="E552" s="63">
        <v>1.25</v>
      </c>
      <c r="F552" s="63">
        <v>2.5299999999999998</v>
      </c>
    </row>
    <row r="553" spans="1:6" x14ac:dyDescent="0.7">
      <c r="A553" s="4">
        <v>9579009</v>
      </c>
      <c r="B553" s="4" t="s">
        <v>696</v>
      </c>
      <c r="C553" s="4" t="s">
        <v>41</v>
      </c>
      <c r="D553" s="4" t="s">
        <v>99</v>
      </c>
      <c r="E553" s="63">
        <v>1.08</v>
      </c>
      <c r="F553" s="63">
        <v>3.93</v>
      </c>
    </row>
    <row r="554" spans="1:6" x14ac:dyDescent="0.7">
      <c r="A554" s="4">
        <v>7327975</v>
      </c>
      <c r="B554" s="4" t="s">
        <v>697</v>
      </c>
      <c r="C554" s="4" t="s">
        <v>41</v>
      </c>
      <c r="D554" s="4" t="s">
        <v>99</v>
      </c>
      <c r="E554" s="63">
        <v>1.36</v>
      </c>
      <c r="F554" s="63">
        <v>3</v>
      </c>
    </row>
    <row r="555" spans="1:6" x14ac:dyDescent="0.7">
      <c r="A555" s="4">
        <v>3874068</v>
      </c>
      <c r="B555" s="4" t="s">
        <v>698</v>
      </c>
      <c r="C555" s="4" t="s">
        <v>41</v>
      </c>
      <c r="D555" s="4" t="s">
        <v>99</v>
      </c>
      <c r="E555" s="63">
        <v>1.41</v>
      </c>
      <c r="F555" s="63">
        <v>2.3199999999999998</v>
      </c>
    </row>
    <row r="556" spans="1:6" x14ac:dyDescent="0.7">
      <c r="A556" s="4">
        <v>1469315</v>
      </c>
      <c r="B556" s="4" t="s">
        <v>699</v>
      </c>
      <c r="C556" s="4" t="s">
        <v>41</v>
      </c>
      <c r="D556" s="4" t="s">
        <v>99</v>
      </c>
      <c r="E556" s="63">
        <v>1.3</v>
      </c>
      <c r="F556" s="63">
        <v>3.3</v>
      </c>
    </row>
    <row r="557" spans="1:6" x14ac:dyDescent="0.7">
      <c r="A557" s="4">
        <v>6368270</v>
      </c>
      <c r="B557" s="4" t="s">
        <v>700</v>
      </c>
      <c r="C557" s="4" t="s">
        <v>41</v>
      </c>
      <c r="D557" s="4" t="s">
        <v>99</v>
      </c>
      <c r="E557" s="63">
        <v>1.36</v>
      </c>
      <c r="F557" s="63">
        <v>3.63</v>
      </c>
    </row>
    <row r="558" spans="1:6" x14ac:dyDescent="0.7">
      <c r="A558" s="4">
        <v>8240309</v>
      </c>
      <c r="B558" s="4" t="s">
        <v>701</v>
      </c>
      <c r="C558" s="4" t="s">
        <v>41</v>
      </c>
      <c r="D558" s="4" t="s">
        <v>103</v>
      </c>
      <c r="E558" s="63">
        <v>1.62</v>
      </c>
      <c r="F558" s="63">
        <v>2.96</v>
      </c>
    </row>
    <row r="559" spans="1:6" x14ac:dyDescent="0.7">
      <c r="A559" s="4">
        <v>5076628</v>
      </c>
      <c r="B559" s="4" t="s">
        <v>702</v>
      </c>
      <c r="C559" s="4" t="s">
        <v>41</v>
      </c>
      <c r="D559" s="4" t="s">
        <v>103</v>
      </c>
      <c r="E559" s="63">
        <v>1.61</v>
      </c>
      <c r="F559" s="63">
        <v>3.81</v>
      </c>
    </row>
    <row r="560" spans="1:6" x14ac:dyDescent="0.7">
      <c r="A560" s="4">
        <v>9376809</v>
      </c>
      <c r="B560" s="4" t="s">
        <v>703</v>
      </c>
      <c r="C560" s="4" t="s">
        <v>41</v>
      </c>
      <c r="D560" s="4" t="s">
        <v>103</v>
      </c>
      <c r="E560" s="63">
        <v>1.85</v>
      </c>
      <c r="F560" s="63">
        <v>3.31</v>
      </c>
    </row>
    <row r="561" spans="1:6" x14ac:dyDescent="0.7">
      <c r="A561" s="4">
        <v>4231411</v>
      </c>
      <c r="B561" s="4" t="s">
        <v>704</v>
      </c>
      <c r="C561" s="4" t="s">
        <v>41</v>
      </c>
      <c r="D561" s="4" t="s">
        <v>103</v>
      </c>
      <c r="E561" s="63">
        <v>1.33</v>
      </c>
      <c r="F561" s="63">
        <v>3.74</v>
      </c>
    </row>
    <row r="562" spans="1:6" x14ac:dyDescent="0.7">
      <c r="A562" s="4">
        <v>4536509</v>
      </c>
      <c r="B562" s="4" t="s">
        <v>705</v>
      </c>
      <c r="C562" s="4" t="s">
        <v>42</v>
      </c>
      <c r="D562" s="4" t="s">
        <v>316</v>
      </c>
      <c r="E562" s="63">
        <v>1.71</v>
      </c>
      <c r="F562" s="63">
        <v>3.82</v>
      </c>
    </row>
    <row r="563" spans="1:6" x14ac:dyDescent="0.7">
      <c r="A563" s="4">
        <v>9028947</v>
      </c>
      <c r="B563" s="4" t="s">
        <v>706</v>
      </c>
      <c r="C563" s="4" t="s">
        <v>42</v>
      </c>
      <c r="D563" s="4" t="s">
        <v>316</v>
      </c>
      <c r="E563" s="63">
        <v>1.59</v>
      </c>
      <c r="F563" s="63">
        <v>3.31</v>
      </c>
    </row>
    <row r="564" spans="1:6" x14ac:dyDescent="0.7">
      <c r="A564" s="4">
        <v>4809543</v>
      </c>
      <c r="B564" s="4" t="s">
        <v>707</v>
      </c>
      <c r="C564" s="4" t="s">
        <v>42</v>
      </c>
      <c r="D564" s="4" t="s">
        <v>316</v>
      </c>
      <c r="E564" s="63">
        <v>1.91</v>
      </c>
      <c r="F564" s="63">
        <v>2.73</v>
      </c>
    </row>
    <row r="565" spans="1:6" x14ac:dyDescent="0.7">
      <c r="A565" s="4">
        <v>8311753</v>
      </c>
      <c r="B565" s="4" t="s">
        <v>708</v>
      </c>
      <c r="C565" s="4" t="s">
        <v>42</v>
      </c>
      <c r="D565" s="4" t="s">
        <v>316</v>
      </c>
      <c r="E565" s="63">
        <v>1.48</v>
      </c>
      <c r="F565" s="63">
        <v>3.01</v>
      </c>
    </row>
    <row r="566" spans="1:6" x14ac:dyDescent="0.7">
      <c r="A566" s="4">
        <v>6942653</v>
      </c>
      <c r="B566" s="4" t="s">
        <v>709</v>
      </c>
      <c r="C566" s="4" t="s">
        <v>42</v>
      </c>
      <c r="D566" s="4" t="s">
        <v>322</v>
      </c>
      <c r="E566" s="63">
        <v>1.26</v>
      </c>
      <c r="F566" s="63">
        <v>2.2200000000000002</v>
      </c>
    </row>
    <row r="567" spans="1:6" x14ac:dyDescent="0.7">
      <c r="A567" s="4">
        <v>2177832</v>
      </c>
      <c r="B567" s="4" t="s">
        <v>710</v>
      </c>
      <c r="C567" s="4" t="s">
        <v>42</v>
      </c>
      <c r="D567" s="4" t="s">
        <v>322</v>
      </c>
      <c r="E567" s="63">
        <v>1.68</v>
      </c>
      <c r="F567" s="63">
        <v>3.84</v>
      </c>
    </row>
    <row r="568" spans="1:6" x14ac:dyDescent="0.7">
      <c r="A568" s="4">
        <v>8147035</v>
      </c>
      <c r="B568" s="4" t="s">
        <v>711</v>
      </c>
      <c r="C568" s="4" t="s">
        <v>42</v>
      </c>
      <c r="D568" s="4" t="s">
        <v>322</v>
      </c>
      <c r="E568" s="63">
        <v>1.84</v>
      </c>
      <c r="F568" s="63">
        <v>2.63</v>
      </c>
    </row>
    <row r="569" spans="1:6" x14ac:dyDescent="0.7">
      <c r="A569" s="4">
        <v>6972096</v>
      </c>
      <c r="B569" s="4" t="s">
        <v>712</v>
      </c>
      <c r="C569" s="4" t="s">
        <v>42</v>
      </c>
      <c r="D569" s="4" t="s">
        <v>322</v>
      </c>
      <c r="E569" s="63">
        <v>1.82</v>
      </c>
      <c r="F569" s="63">
        <v>3.48</v>
      </c>
    </row>
    <row r="570" spans="1:6" x14ac:dyDescent="0.7">
      <c r="A570" s="4">
        <v>2209049</v>
      </c>
      <c r="B570" s="4" t="s">
        <v>713</v>
      </c>
      <c r="C570" s="4" t="s">
        <v>42</v>
      </c>
      <c r="D570" s="4" t="s">
        <v>328</v>
      </c>
      <c r="E570" s="63">
        <v>1.57</v>
      </c>
      <c r="F570" s="63">
        <v>3.49</v>
      </c>
    </row>
    <row r="571" spans="1:6" x14ac:dyDescent="0.7">
      <c r="A571" s="4">
        <v>7562073</v>
      </c>
      <c r="B571" s="4" t="s">
        <v>714</v>
      </c>
      <c r="C571" s="4" t="s">
        <v>42</v>
      </c>
      <c r="D571" s="4" t="s">
        <v>328</v>
      </c>
      <c r="E571" s="63">
        <v>1.34</v>
      </c>
      <c r="F571" s="63">
        <v>3.68</v>
      </c>
    </row>
    <row r="572" spans="1:6" x14ac:dyDescent="0.7">
      <c r="A572" s="4">
        <v>6542470</v>
      </c>
      <c r="B572" s="4" t="s">
        <v>715</v>
      </c>
      <c r="C572" s="4" t="s">
        <v>42</v>
      </c>
      <c r="D572" s="4" t="s">
        <v>328</v>
      </c>
      <c r="E572" s="63">
        <v>1.22</v>
      </c>
      <c r="F572" s="63">
        <v>2.16</v>
      </c>
    </row>
    <row r="573" spans="1:6" x14ac:dyDescent="0.7">
      <c r="A573" s="4">
        <v>9732774</v>
      </c>
      <c r="B573" s="4" t="s">
        <v>716</v>
      </c>
      <c r="C573" s="4" t="s">
        <v>42</v>
      </c>
      <c r="D573" s="4" t="s">
        <v>328</v>
      </c>
      <c r="E573" s="63">
        <v>1.57</v>
      </c>
      <c r="F573" s="63">
        <v>3.74</v>
      </c>
    </row>
    <row r="574" spans="1:6" x14ac:dyDescent="0.7">
      <c r="A574" s="4">
        <v>1635351</v>
      </c>
      <c r="B574" s="4" t="s">
        <v>717</v>
      </c>
      <c r="C574" s="4" t="s">
        <v>42</v>
      </c>
      <c r="D574" s="4" t="s">
        <v>421</v>
      </c>
      <c r="E574" s="63">
        <v>1.08</v>
      </c>
      <c r="F574" s="63">
        <v>2.97</v>
      </c>
    </row>
    <row r="575" spans="1:6" x14ac:dyDescent="0.7">
      <c r="A575" s="4">
        <v>5457642</v>
      </c>
      <c r="B575" s="4" t="s">
        <v>718</v>
      </c>
      <c r="C575" s="4" t="s">
        <v>42</v>
      </c>
      <c r="D575" s="4" t="s">
        <v>421</v>
      </c>
      <c r="E575" s="63">
        <v>1.58</v>
      </c>
      <c r="F575" s="63">
        <v>3.84</v>
      </c>
    </row>
    <row r="576" spans="1:6" x14ac:dyDescent="0.7">
      <c r="A576" s="4">
        <v>5688536.7999999998</v>
      </c>
      <c r="B576" s="4" t="s">
        <v>719</v>
      </c>
      <c r="C576" s="4" t="s">
        <v>42</v>
      </c>
      <c r="D576" s="4" t="s">
        <v>421</v>
      </c>
      <c r="E576" s="63">
        <v>1.44</v>
      </c>
      <c r="F576" s="63">
        <v>3.7</v>
      </c>
    </row>
    <row r="577" spans="1:6" x14ac:dyDescent="0.7">
      <c r="A577" s="4">
        <v>5735768.3142857105</v>
      </c>
      <c r="B577" s="4" t="s">
        <v>720</v>
      </c>
      <c r="C577" s="4" t="s">
        <v>42</v>
      </c>
      <c r="D577" s="4" t="s">
        <v>421</v>
      </c>
      <c r="E577" s="63">
        <v>1.51</v>
      </c>
      <c r="F577" s="63">
        <v>2.36</v>
      </c>
    </row>
    <row r="578" spans="1:6" x14ac:dyDescent="0.7">
      <c r="A578" s="4">
        <v>4467766.7514285697</v>
      </c>
      <c r="B578" s="4" t="s">
        <v>721</v>
      </c>
      <c r="C578" s="4" t="s">
        <v>42</v>
      </c>
      <c r="D578" s="4" t="s">
        <v>421</v>
      </c>
      <c r="E578" s="63">
        <v>1.99</v>
      </c>
      <c r="F578" s="63">
        <v>2</v>
      </c>
    </row>
    <row r="579" spans="1:6" x14ac:dyDescent="0.7">
      <c r="A579" s="4">
        <v>4073684.1942857201</v>
      </c>
      <c r="B579" s="4" t="s">
        <v>728</v>
      </c>
      <c r="C579" s="4" t="s">
        <v>42</v>
      </c>
      <c r="D579" s="4" t="s">
        <v>455</v>
      </c>
      <c r="E579" s="63">
        <v>1.8</v>
      </c>
      <c r="F579" s="63">
        <v>2.4500000000000002</v>
      </c>
    </row>
    <row r="580" spans="1:6" x14ac:dyDescent="0.7">
      <c r="A580" s="4">
        <v>3679601.6371428599</v>
      </c>
      <c r="B580" s="4" t="s">
        <v>729</v>
      </c>
      <c r="C580" s="4" t="s">
        <v>42</v>
      </c>
      <c r="D580" s="4" t="s">
        <v>455</v>
      </c>
      <c r="E580" s="63">
        <v>1.23</v>
      </c>
      <c r="F580" s="63">
        <v>3.99</v>
      </c>
    </row>
    <row r="581" spans="1:6" x14ac:dyDescent="0.7">
      <c r="A581" s="4">
        <v>3285519.08</v>
      </c>
      <c r="B581" s="4" t="s">
        <v>730</v>
      </c>
      <c r="C581" s="4" t="s">
        <v>42</v>
      </c>
      <c r="D581" s="4" t="s">
        <v>455</v>
      </c>
      <c r="E581" s="63">
        <v>1.85</v>
      </c>
      <c r="F581" s="63">
        <v>2.73</v>
      </c>
    </row>
    <row r="582" spans="1:6" x14ac:dyDescent="0.7">
      <c r="A582" s="4">
        <v>2891436.5228571398</v>
      </c>
      <c r="B582" s="4" t="s">
        <v>731</v>
      </c>
      <c r="C582" s="4" t="s">
        <v>42</v>
      </c>
      <c r="D582" s="4" t="s">
        <v>455</v>
      </c>
      <c r="E582" s="63">
        <v>1.72</v>
      </c>
      <c r="F582" s="63">
        <v>2.34</v>
      </c>
    </row>
    <row r="583" spans="1:6" x14ac:dyDescent="0.7">
      <c r="A583" s="4">
        <v>2497353.9657142898</v>
      </c>
      <c r="B583" s="4" t="s">
        <v>732</v>
      </c>
      <c r="C583" s="4" t="s">
        <v>42</v>
      </c>
      <c r="D583" s="4" t="s">
        <v>418</v>
      </c>
      <c r="E583" s="63">
        <v>1.1000000000000001</v>
      </c>
      <c r="F583" s="63">
        <v>2.2400000000000002</v>
      </c>
    </row>
    <row r="584" spans="1:6" x14ac:dyDescent="0.7">
      <c r="A584" s="4">
        <v>2103271.40857143</v>
      </c>
      <c r="B584" s="4" t="s">
        <v>733</v>
      </c>
      <c r="C584" s="4" t="s">
        <v>42</v>
      </c>
      <c r="D584" s="4" t="s">
        <v>418</v>
      </c>
      <c r="E584" s="63">
        <v>1.39</v>
      </c>
      <c r="F584" s="63">
        <v>2.19</v>
      </c>
    </row>
    <row r="585" spans="1:6" x14ac:dyDescent="0.7">
      <c r="A585" s="4">
        <v>1709188.85142857</v>
      </c>
      <c r="B585" s="4" t="s">
        <v>734</v>
      </c>
      <c r="C585" s="4" t="s">
        <v>42</v>
      </c>
      <c r="D585" s="4" t="s">
        <v>418</v>
      </c>
      <c r="E585" s="63">
        <v>1.52</v>
      </c>
      <c r="F585" s="63">
        <v>3.96</v>
      </c>
    </row>
    <row r="586" spans="1:6" x14ac:dyDescent="0.7">
      <c r="A586" s="4">
        <v>1315106.29428571</v>
      </c>
      <c r="B586" s="4" t="s">
        <v>735</v>
      </c>
      <c r="C586" s="4" t="s">
        <v>42</v>
      </c>
      <c r="D586" s="4" t="s">
        <v>418</v>
      </c>
      <c r="E586" s="63">
        <v>1.45</v>
      </c>
      <c r="F586" s="63">
        <v>3.25</v>
      </c>
    </row>
    <row r="587" spans="1:6" x14ac:dyDescent="0.7">
      <c r="A587" s="4">
        <v>921023.73714284005</v>
      </c>
      <c r="B587" s="4" t="s">
        <v>736</v>
      </c>
      <c r="C587" s="4" t="s">
        <v>42</v>
      </c>
      <c r="D587" s="4" t="s">
        <v>426</v>
      </c>
      <c r="E587" s="63">
        <v>1.83</v>
      </c>
      <c r="F587" s="63">
        <v>3.07</v>
      </c>
    </row>
    <row r="588" spans="1:6" x14ac:dyDescent="0.7">
      <c r="A588" s="4">
        <v>526941.17999998003</v>
      </c>
      <c r="B588" s="4" t="s">
        <v>737</v>
      </c>
      <c r="C588" s="4" t="s">
        <v>42</v>
      </c>
      <c r="D588" s="4" t="s">
        <v>426</v>
      </c>
      <c r="E588" s="63">
        <v>1.04</v>
      </c>
      <c r="F588" s="63">
        <v>3.4</v>
      </c>
    </row>
    <row r="589" spans="1:6" x14ac:dyDescent="0.7">
      <c r="A589" s="4">
        <v>132858.62285712</v>
      </c>
      <c r="B589" s="4" t="s">
        <v>738</v>
      </c>
      <c r="C589" s="4" t="s">
        <v>42</v>
      </c>
      <c r="D589" s="4" t="s">
        <v>426</v>
      </c>
      <c r="E589" s="63">
        <v>1.44</v>
      </c>
      <c r="F589" s="63">
        <v>2.11</v>
      </c>
    </row>
    <row r="590" spans="1:6" x14ac:dyDescent="0.7">
      <c r="A590" s="4">
        <v>3746872</v>
      </c>
      <c r="B590" s="4" t="s">
        <v>739</v>
      </c>
      <c r="C590" s="4" t="s">
        <v>42</v>
      </c>
      <c r="D590" s="4" t="s">
        <v>426</v>
      </c>
      <c r="E590" s="63">
        <v>1.79</v>
      </c>
      <c r="F590" s="63">
        <v>2.2400000000000002</v>
      </c>
    </row>
    <row r="591" spans="1:6" x14ac:dyDescent="0.7">
      <c r="A591" s="4">
        <v>1648365</v>
      </c>
      <c r="B591" s="4" t="s">
        <v>449</v>
      </c>
      <c r="C591" s="4" t="s">
        <v>42</v>
      </c>
      <c r="D591" s="4" t="s">
        <v>431</v>
      </c>
      <c r="E591" s="63">
        <v>1.85</v>
      </c>
      <c r="F591" s="63">
        <v>2.25</v>
      </c>
    </row>
    <row r="592" spans="1:6" x14ac:dyDescent="0.7">
      <c r="A592" s="4">
        <v>1948317</v>
      </c>
      <c r="B592" s="4" t="s">
        <v>740</v>
      </c>
      <c r="C592" s="4" t="s">
        <v>42</v>
      </c>
      <c r="D592" s="4" t="s">
        <v>431</v>
      </c>
      <c r="E592" s="63">
        <v>1.58</v>
      </c>
      <c r="F592" s="63">
        <v>3.69</v>
      </c>
    </row>
    <row r="593" spans="1:6" x14ac:dyDescent="0.7">
      <c r="A593" s="4">
        <v>1737800</v>
      </c>
      <c r="B593" s="4" t="s">
        <v>741</v>
      </c>
      <c r="C593" s="4" t="s">
        <v>42</v>
      </c>
      <c r="D593" s="4" t="s">
        <v>431</v>
      </c>
      <c r="E593" s="63">
        <v>1.37</v>
      </c>
      <c r="F593" s="63">
        <v>2.88</v>
      </c>
    </row>
    <row r="594" spans="1:6" x14ac:dyDescent="0.7">
      <c r="A594" s="4">
        <v>2516197</v>
      </c>
      <c r="B594" s="4" t="s">
        <v>742</v>
      </c>
      <c r="C594" s="4" t="s">
        <v>42</v>
      </c>
      <c r="D594" s="4" t="s">
        <v>431</v>
      </c>
      <c r="E594" s="63">
        <v>1.49</v>
      </c>
      <c r="F594" s="63">
        <v>2.3199999999999998</v>
      </c>
    </row>
    <row r="595" spans="1:6" x14ac:dyDescent="0.7">
      <c r="A595" s="4">
        <v>4644956</v>
      </c>
      <c r="B595" s="4" t="s">
        <v>743</v>
      </c>
      <c r="C595" s="4" t="s">
        <v>42</v>
      </c>
      <c r="D595" s="4" t="s">
        <v>437</v>
      </c>
      <c r="E595" s="63">
        <v>1.36</v>
      </c>
      <c r="F595" s="63">
        <v>2.66</v>
      </c>
    </row>
    <row r="596" spans="1:6" x14ac:dyDescent="0.7">
      <c r="A596" s="4">
        <v>2160661</v>
      </c>
      <c r="B596" s="4" t="s">
        <v>744</v>
      </c>
      <c r="C596" s="4" t="s">
        <v>42</v>
      </c>
      <c r="D596" s="4" t="s">
        <v>437</v>
      </c>
      <c r="E596" s="63">
        <v>1.68</v>
      </c>
      <c r="F596" s="63">
        <v>2.2799999999999998</v>
      </c>
    </row>
    <row r="597" spans="1:6" x14ac:dyDescent="0.7">
      <c r="A597" s="4">
        <v>3931240</v>
      </c>
      <c r="B597" s="4" t="s">
        <v>745</v>
      </c>
      <c r="C597" s="4" t="s">
        <v>42</v>
      </c>
      <c r="D597" s="4" t="s">
        <v>437</v>
      </c>
      <c r="E597" s="63">
        <v>1.41</v>
      </c>
      <c r="F597" s="63">
        <v>2.85</v>
      </c>
    </row>
    <row r="598" spans="1:6" x14ac:dyDescent="0.7">
      <c r="A598" s="4">
        <v>2273559</v>
      </c>
      <c r="B598" s="4" t="s">
        <v>746</v>
      </c>
      <c r="C598" s="4" t="s">
        <v>42</v>
      </c>
      <c r="D598" s="4" t="s">
        <v>437</v>
      </c>
      <c r="E598" s="63">
        <v>1.31</v>
      </c>
      <c r="F598" s="63">
        <v>2.62</v>
      </c>
    </row>
    <row r="599" spans="1:6" x14ac:dyDescent="0.7">
      <c r="A599" s="4">
        <v>5184758</v>
      </c>
      <c r="B599" s="4" t="s">
        <v>747</v>
      </c>
      <c r="C599" s="4" t="s">
        <v>42</v>
      </c>
      <c r="D599" s="4" t="s">
        <v>441</v>
      </c>
      <c r="E599" s="63">
        <v>1.58</v>
      </c>
      <c r="F599" s="63">
        <v>3.27</v>
      </c>
    </row>
    <row r="600" spans="1:6" x14ac:dyDescent="0.7">
      <c r="A600" s="4">
        <v>2413266</v>
      </c>
      <c r="B600" s="4" t="s">
        <v>748</v>
      </c>
      <c r="C600" s="4" t="s">
        <v>42</v>
      </c>
      <c r="D600" s="4" t="s">
        <v>441</v>
      </c>
      <c r="E600" s="63">
        <v>1.64</v>
      </c>
      <c r="F600" s="63">
        <v>3.51</v>
      </c>
    </row>
    <row r="601" spans="1:6" x14ac:dyDescent="0.7">
      <c r="A601" s="4">
        <v>1354188</v>
      </c>
      <c r="B601" s="4" t="s">
        <v>749</v>
      </c>
      <c r="C601" s="4" t="s">
        <v>42</v>
      </c>
      <c r="D601" s="4" t="s">
        <v>441</v>
      </c>
      <c r="E601" s="63">
        <v>1.9</v>
      </c>
      <c r="F601" s="63">
        <v>3.76</v>
      </c>
    </row>
    <row r="602" spans="1:6" x14ac:dyDescent="0.7">
      <c r="A602" s="4">
        <v>3456453</v>
      </c>
      <c r="B602" s="4" t="s">
        <v>750</v>
      </c>
      <c r="C602" s="4" t="s">
        <v>42</v>
      </c>
      <c r="D602" s="4" t="s">
        <v>441</v>
      </c>
      <c r="E602" s="63">
        <v>1.01</v>
      </c>
      <c r="F602" s="63">
        <v>3.12</v>
      </c>
    </row>
    <row r="603" spans="1:6" x14ac:dyDescent="0.7">
      <c r="A603" s="4">
        <v>5278654</v>
      </c>
      <c r="B603" s="4" t="s">
        <v>751</v>
      </c>
      <c r="C603" s="4" t="s">
        <v>42</v>
      </c>
      <c r="D603" s="4" t="s">
        <v>446</v>
      </c>
      <c r="E603" s="63">
        <v>1.1000000000000001</v>
      </c>
      <c r="F603" s="63">
        <v>2.66</v>
      </c>
    </row>
    <row r="604" spans="1:6" x14ac:dyDescent="0.7">
      <c r="A604" s="4">
        <v>4759828</v>
      </c>
      <c r="B604" s="4" t="s">
        <v>447</v>
      </c>
      <c r="C604" s="4" t="s">
        <v>42</v>
      </c>
      <c r="D604" s="4" t="s">
        <v>446</v>
      </c>
      <c r="E604" s="63">
        <v>1.4</v>
      </c>
      <c r="F604" s="63">
        <v>2</v>
      </c>
    </row>
    <row r="605" spans="1:6" x14ac:dyDescent="0.7">
      <c r="A605" s="4">
        <v>3771125</v>
      </c>
      <c r="B605" s="4" t="s">
        <v>752</v>
      </c>
      <c r="C605" s="4" t="s">
        <v>42</v>
      </c>
      <c r="D605" s="4" t="s">
        <v>446</v>
      </c>
      <c r="E605" s="63">
        <v>1.61</v>
      </c>
      <c r="F605" s="63">
        <v>2.95</v>
      </c>
    </row>
    <row r="606" spans="1:6" x14ac:dyDescent="0.7">
      <c r="A606" s="4">
        <v>3131680</v>
      </c>
      <c r="B606" s="4" t="s">
        <v>753</v>
      </c>
      <c r="C606" s="4" t="s">
        <v>42</v>
      </c>
      <c r="D606" s="4" t="s">
        <v>446</v>
      </c>
      <c r="E606" s="63">
        <v>1.2</v>
      </c>
      <c r="F606" s="63">
        <v>2.72</v>
      </c>
    </row>
    <row r="607" spans="1:6" x14ac:dyDescent="0.7">
      <c r="A607" s="4">
        <v>1610901</v>
      </c>
      <c r="B607" s="4" t="s">
        <v>754</v>
      </c>
      <c r="C607" s="4" t="s">
        <v>42</v>
      </c>
      <c r="D607" s="4" t="s">
        <v>451</v>
      </c>
      <c r="E607" s="63">
        <v>1.43</v>
      </c>
      <c r="F607" s="63">
        <v>3.98</v>
      </c>
    </row>
    <row r="608" spans="1:6" x14ac:dyDescent="0.7">
      <c r="A608" s="4">
        <v>2822608</v>
      </c>
      <c r="B608" s="4" t="s">
        <v>755</v>
      </c>
      <c r="C608" s="4" t="s">
        <v>42</v>
      </c>
      <c r="D608" s="4" t="s">
        <v>451</v>
      </c>
      <c r="E608" s="63">
        <v>1.47</v>
      </c>
      <c r="F608" s="63">
        <v>3.73</v>
      </c>
    </row>
    <row r="609" spans="1:6" x14ac:dyDescent="0.7">
      <c r="A609" s="4">
        <v>1941365</v>
      </c>
      <c r="B609" s="4" t="s">
        <v>756</v>
      </c>
      <c r="C609" s="4" t="s">
        <v>42</v>
      </c>
      <c r="D609" s="4" t="s">
        <v>451</v>
      </c>
      <c r="E609" s="63">
        <v>1.21</v>
      </c>
      <c r="F609" s="63">
        <v>2.4</v>
      </c>
    </row>
    <row r="610" spans="1:6" x14ac:dyDescent="0.7">
      <c r="A610" s="4">
        <v>5031644</v>
      </c>
      <c r="B610" s="4" t="s">
        <v>757</v>
      </c>
      <c r="C610" s="4" t="s">
        <v>42</v>
      </c>
      <c r="D610" s="4" t="s">
        <v>451</v>
      </c>
      <c r="E610" s="63">
        <v>1.3</v>
      </c>
      <c r="F610" s="63">
        <v>2.25</v>
      </c>
    </row>
    <row r="611" spans="1:6" x14ac:dyDescent="0.7">
      <c r="A611" s="4">
        <v>4611464</v>
      </c>
      <c r="B611" s="4" t="s">
        <v>758</v>
      </c>
      <c r="C611" s="4" t="s">
        <v>38</v>
      </c>
      <c r="D611" s="4" t="s">
        <v>474</v>
      </c>
      <c r="E611" s="63">
        <v>1.47</v>
      </c>
      <c r="F611" s="63">
        <v>2.1</v>
      </c>
    </row>
    <row r="612" spans="1:6" x14ac:dyDescent="0.7">
      <c r="A612" s="4">
        <v>3034157</v>
      </c>
      <c r="B612" s="4" t="s">
        <v>759</v>
      </c>
      <c r="C612" s="4" t="s">
        <v>38</v>
      </c>
      <c r="D612" s="4" t="s">
        <v>474</v>
      </c>
      <c r="E612" s="63">
        <v>1.91</v>
      </c>
      <c r="F612" s="63">
        <v>2.42</v>
      </c>
    </row>
    <row r="613" spans="1:6" x14ac:dyDescent="0.7">
      <c r="A613" s="4">
        <v>5369051</v>
      </c>
      <c r="B613" s="4" t="s">
        <v>760</v>
      </c>
      <c r="C613" s="4" t="s">
        <v>38</v>
      </c>
      <c r="D613" s="4" t="s">
        <v>474</v>
      </c>
      <c r="E613" s="63">
        <v>1.97</v>
      </c>
      <c r="F613" s="63">
        <v>2.64</v>
      </c>
    </row>
    <row r="614" spans="1:6" x14ac:dyDescent="0.7">
      <c r="A614" s="4">
        <v>3957636</v>
      </c>
      <c r="B614" s="4" t="s">
        <v>761</v>
      </c>
      <c r="C614" s="4" t="s">
        <v>38</v>
      </c>
      <c r="D614" s="4" t="s">
        <v>474</v>
      </c>
      <c r="E614" s="63">
        <v>1.65</v>
      </c>
      <c r="F614" s="63">
        <v>2.0099999999999998</v>
      </c>
    </row>
    <row r="615" spans="1:6" x14ac:dyDescent="0.7">
      <c r="A615" s="4">
        <v>3436724</v>
      </c>
      <c r="B615" s="4" t="s">
        <v>762</v>
      </c>
      <c r="C615" s="4" t="s">
        <v>39</v>
      </c>
      <c r="D615" s="4" t="s">
        <v>247</v>
      </c>
      <c r="E615" s="63">
        <v>1.2</v>
      </c>
      <c r="F615" s="63">
        <v>2.76</v>
      </c>
    </row>
    <row r="616" spans="1:6" x14ac:dyDescent="0.7">
      <c r="A616" s="4">
        <v>2208918</v>
      </c>
      <c r="B616" s="4" t="s">
        <v>763</v>
      </c>
      <c r="C616" s="4" t="s">
        <v>39</v>
      </c>
      <c r="D616" s="4" t="s">
        <v>247</v>
      </c>
      <c r="E616" s="63">
        <v>1.26</v>
      </c>
      <c r="F616" s="63">
        <v>3.7</v>
      </c>
    </row>
    <row r="617" spans="1:6" x14ac:dyDescent="0.7">
      <c r="A617" s="4">
        <v>4274658</v>
      </c>
      <c r="B617" s="4" t="s">
        <v>764</v>
      </c>
      <c r="C617" s="4" t="s">
        <v>39</v>
      </c>
      <c r="D617" s="4" t="s">
        <v>247</v>
      </c>
      <c r="E617" s="63">
        <v>1.69</v>
      </c>
      <c r="F617" s="63">
        <v>3.33</v>
      </c>
    </row>
    <row r="618" spans="1:6" x14ac:dyDescent="0.7">
      <c r="A618" s="4">
        <v>2470173</v>
      </c>
      <c r="B618" s="4" t="s">
        <v>765</v>
      </c>
      <c r="C618" s="4" t="s">
        <v>39</v>
      </c>
      <c r="D618" s="4" t="s">
        <v>247</v>
      </c>
      <c r="E618" s="63">
        <v>1.18</v>
      </c>
      <c r="F618" s="63">
        <v>3.01</v>
      </c>
    </row>
    <row r="619" spans="1:6" x14ac:dyDescent="0.7">
      <c r="A619" s="4">
        <v>4206390</v>
      </c>
      <c r="B619" s="4" t="s">
        <v>766</v>
      </c>
      <c r="C619" s="4" t="s">
        <v>40</v>
      </c>
      <c r="D619" s="4" t="s">
        <v>265</v>
      </c>
      <c r="E619" s="63">
        <v>1.19</v>
      </c>
      <c r="F619" s="63">
        <v>3.02</v>
      </c>
    </row>
    <row r="620" spans="1:6" x14ac:dyDescent="0.7">
      <c r="A620" s="4">
        <v>3367516</v>
      </c>
      <c r="B620" s="4" t="s">
        <v>767</v>
      </c>
      <c r="C620" s="4" t="s">
        <v>40</v>
      </c>
      <c r="D620" s="4" t="s">
        <v>265</v>
      </c>
      <c r="E620" s="63">
        <v>1.33</v>
      </c>
      <c r="F620" s="63">
        <v>2.0499999999999998</v>
      </c>
    </row>
    <row r="621" spans="1:6" x14ac:dyDescent="0.7">
      <c r="A621" s="4">
        <v>3637930</v>
      </c>
      <c r="B621" s="4" t="s">
        <v>768</v>
      </c>
      <c r="C621" s="4" t="s">
        <v>40</v>
      </c>
      <c r="D621" s="4" t="s">
        <v>265</v>
      </c>
      <c r="E621" s="63">
        <v>1.2</v>
      </c>
      <c r="F621" s="63">
        <v>3.07</v>
      </c>
    </row>
    <row r="622" spans="1:6" x14ac:dyDescent="0.7">
      <c r="A622" s="4">
        <v>5037875</v>
      </c>
      <c r="B622" s="4" t="s">
        <v>769</v>
      </c>
      <c r="C622" s="4" t="s">
        <v>40</v>
      </c>
      <c r="D622" s="4" t="s">
        <v>265</v>
      </c>
      <c r="E622" s="63">
        <v>1.38</v>
      </c>
      <c r="F622" s="63">
        <v>3.8</v>
      </c>
    </row>
    <row r="623" spans="1:6" x14ac:dyDescent="0.7">
      <c r="A623" s="4">
        <v>5245337</v>
      </c>
      <c r="B623" s="4" t="s">
        <v>770</v>
      </c>
      <c r="C623" s="4" t="s">
        <v>40</v>
      </c>
      <c r="D623" s="4" t="s">
        <v>102</v>
      </c>
      <c r="E623" s="63">
        <v>1.97</v>
      </c>
      <c r="F623" s="63">
        <v>3.68</v>
      </c>
    </row>
    <row r="624" spans="1:6" x14ac:dyDescent="0.7">
      <c r="A624" s="4">
        <v>3653694</v>
      </c>
      <c r="B624" s="4" t="s">
        <v>771</v>
      </c>
      <c r="C624" s="4" t="s">
        <v>40</v>
      </c>
      <c r="D624" s="4" t="s">
        <v>102</v>
      </c>
      <c r="E624" s="63">
        <v>1.48</v>
      </c>
      <c r="F624" s="63">
        <v>3.78</v>
      </c>
    </row>
    <row r="625" spans="1:6" x14ac:dyDescent="0.7">
      <c r="A625" s="4">
        <v>3391005</v>
      </c>
      <c r="B625" s="4" t="s">
        <v>772</v>
      </c>
      <c r="C625" s="4" t="s">
        <v>40</v>
      </c>
      <c r="D625" s="4" t="s">
        <v>102</v>
      </c>
      <c r="E625" s="63">
        <v>1.07</v>
      </c>
      <c r="F625" s="63">
        <v>2.0099999999999998</v>
      </c>
    </row>
    <row r="626" spans="1:6" x14ac:dyDescent="0.7">
      <c r="A626" s="4">
        <v>3322895</v>
      </c>
      <c r="B626" s="4" t="s">
        <v>773</v>
      </c>
      <c r="C626" s="4" t="s">
        <v>40</v>
      </c>
      <c r="D626" s="4" t="s">
        <v>102</v>
      </c>
      <c r="E626" s="63">
        <v>1.18</v>
      </c>
      <c r="F626" s="63">
        <v>3.32</v>
      </c>
    </row>
    <row r="627" spans="1:6" x14ac:dyDescent="0.7">
      <c r="E627" s="60"/>
      <c r="F627" s="60"/>
    </row>
    <row r="628" spans="1:6" x14ac:dyDescent="0.7">
      <c r="E628" s="60"/>
      <c r="F628" s="60"/>
    </row>
    <row r="629" spans="1:6" x14ac:dyDescent="0.7">
      <c r="E629" s="60"/>
      <c r="F629" s="60"/>
    </row>
    <row r="630" spans="1:6" x14ac:dyDescent="0.7">
      <c r="E630" s="60"/>
      <c r="F630" s="60"/>
    </row>
    <row r="631" spans="1:6" x14ac:dyDescent="0.7">
      <c r="E631" s="60"/>
      <c r="F631" s="60"/>
    </row>
    <row r="632" spans="1:6" x14ac:dyDescent="0.7">
      <c r="E632" s="60"/>
      <c r="F632" s="60"/>
    </row>
    <row r="633" spans="1:6" x14ac:dyDescent="0.7">
      <c r="E633" s="60"/>
      <c r="F633" s="60"/>
    </row>
    <row r="634" spans="1:6" x14ac:dyDescent="0.7">
      <c r="E634" s="60"/>
      <c r="F634" s="60"/>
    </row>
    <row r="635" spans="1:6" x14ac:dyDescent="0.7">
      <c r="E635" s="60"/>
      <c r="F635" s="60"/>
    </row>
    <row r="636" spans="1:6" x14ac:dyDescent="0.7">
      <c r="E636" s="60"/>
      <c r="F636" s="60"/>
    </row>
    <row r="637" spans="1:6" x14ac:dyDescent="0.7">
      <c r="E637" s="60"/>
      <c r="F637" s="60"/>
    </row>
    <row r="638" spans="1:6" x14ac:dyDescent="0.7">
      <c r="E638" s="60"/>
      <c r="F638" s="60"/>
    </row>
    <row r="639" spans="1:6" x14ac:dyDescent="0.7">
      <c r="E639" s="60"/>
      <c r="F639" s="60"/>
    </row>
    <row r="640" spans="1:6" x14ac:dyDescent="0.7">
      <c r="E640" s="60"/>
      <c r="F640" s="60"/>
    </row>
  </sheetData>
  <mergeCells count="3">
    <mergeCell ref="A1:F1"/>
    <mergeCell ref="J1:K1"/>
    <mergeCell ref="N1:O1"/>
  </mergeCells>
  <dataValidations count="3">
    <dataValidation type="list" allowBlank="1" showInputMessage="1" showErrorMessage="1" sqref="D34" xr:uid="{00000000-0002-0000-0600-000000000000}">
      <formula1>Subcategory1</formula1>
    </dataValidation>
    <dataValidation type="list" allowBlank="1" showInputMessage="1" showErrorMessage="1" sqref="D578" xr:uid="{00000000-0002-0000-0600-000001000000}">
      <formula1>Subcategory6</formula1>
    </dataValidation>
    <dataValidation type="list" allowBlank="1" showInputMessage="1" showErrorMessage="1" sqref="C3:C50000" xr:uid="{00000000-0002-0000-0600-000002000000}">
      <formula1>Categories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Users"/>
  <dimension ref="A1:C52"/>
  <sheetViews>
    <sheetView workbookViewId="0">
      <selection activeCell="D6" sqref="A1:XFD1048576"/>
    </sheetView>
  </sheetViews>
  <sheetFormatPr defaultRowHeight="16.2" x14ac:dyDescent="0.7"/>
  <cols>
    <col min="1" max="1" width="8.83984375" style="4"/>
    <col min="2" max="2" width="12.83984375" style="4" bestFit="1" customWidth="1"/>
    <col min="3" max="16384" width="8.83984375" style="4"/>
  </cols>
  <sheetData>
    <row r="1" spans="1:3" x14ac:dyDescent="0.7">
      <c r="A1" s="124" t="s">
        <v>471</v>
      </c>
      <c r="B1" s="124"/>
      <c r="C1" s="124"/>
    </row>
    <row r="2" spans="1:3" x14ac:dyDescent="0.7">
      <c r="A2" s="57" t="s">
        <v>15</v>
      </c>
      <c r="B2" s="57" t="s">
        <v>467</v>
      </c>
      <c r="C2" s="57" t="s">
        <v>472</v>
      </c>
    </row>
    <row r="3" spans="1:3" x14ac:dyDescent="0.7">
      <c r="A3" s="58">
        <v>1</v>
      </c>
      <c r="B3" s="4" t="s">
        <v>468</v>
      </c>
      <c r="C3" s="4" t="s">
        <v>462</v>
      </c>
    </row>
    <row r="4" spans="1:3" x14ac:dyDescent="0.7">
      <c r="A4" s="58">
        <v>2</v>
      </c>
      <c r="B4" s="4" t="s">
        <v>469</v>
      </c>
      <c r="C4" s="4" t="s">
        <v>463</v>
      </c>
    </row>
    <row r="5" spans="1:3" x14ac:dyDescent="0.7">
      <c r="A5" s="58">
        <v>3</v>
      </c>
      <c r="B5" s="4" t="s">
        <v>470</v>
      </c>
      <c r="C5" s="4" t="s">
        <v>464</v>
      </c>
    </row>
    <row r="6" spans="1:3" x14ac:dyDescent="0.7">
      <c r="A6" s="58"/>
    </row>
    <row r="7" spans="1:3" x14ac:dyDescent="0.7">
      <c r="A7" s="58"/>
    </row>
    <row r="8" spans="1:3" x14ac:dyDescent="0.7">
      <c r="A8" s="58"/>
    </row>
    <row r="9" spans="1:3" x14ac:dyDescent="0.7">
      <c r="A9" s="58"/>
    </row>
    <row r="10" spans="1:3" x14ac:dyDescent="0.7">
      <c r="A10" s="58"/>
    </row>
    <row r="11" spans="1:3" x14ac:dyDescent="0.7">
      <c r="A11" s="58"/>
    </row>
    <row r="12" spans="1:3" x14ac:dyDescent="0.7">
      <c r="A12" s="58"/>
    </row>
    <row r="13" spans="1:3" x14ac:dyDescent="0.7">
      <c r="A13" s="58"/>
    </row>
    <row r="14" spans="1:3" x14ac:dyDescent="0.7">
      <c r="A14" s="58"/>
    </row>
    <row r="15" spans="1:3" x14ac:dyDescent="0.7">
      <c r="A15" s="58"/>
    </row>
    <row r="16" spans="1:3" x14ac:dyDescent="0.7">
      <c r="A16" s="58"/>
    </row>
    <row r="17" spans="1:1" x14ac:dyDescent="0.7">
      <c r="A17" s="58"/>
    </row>
    <row r="18" spans="1:1" x14ac:dyDescent="0.7">
      <c r="A18" s="58"/>
    </row>
    <row r="19" spans="1:1" x14ac:dyDescent="0.7">
      <c r="A19" s="58"/>
    </row>
    <row r="20" spans="1:1" x14ac:dyDescent="0.7">
      <c r="A20" s="58"/>
    </row>
    <row r="21" spans="1:1" x14ac:dyDescent="0.7">
      <c r="A21" s="58"/>
    </row>
    <row r="22" spans="1:1" x14ac:dyDescent="0.7">
      <c r="A22" s="58"/>
    </row>
    <row r="23" spans="1:1" x14ac:dyDescent="0.7">
      <c r="A23" s="58"/>
    </row>
    <row r="24" spans="1:1" x14ac:dyDescent="0.7">
      <c r="A24" s="58"/>
    </row>
    <row r="25" spans="1:1" x14ac:dyDescent="0.7">
      <c r="A25" s="58"/>
    </row>
    <row r="26" spans="1:1" x14ac:dyDescent="0.7">
      <c r="A26" s="58"/>
    </row>
    <row r="27" spans="1:1" x14ac:dyDescent="0.7">
      <c r="A27" s="58"/>
    </row>
    <row r="28" spans="1:1" x14ac:dyDescent="0.7">
      <c r="A28" s="58"/>
    </row>
    <row r="29" spans="1:1" x14ac:dyDescent="0.7">
      <c r="A29" s="58"/>
    </row>
    <row r="30" spans="1:1" x14ac:dyDescent="0.7">
      <c r="A30" s="58"/>
    </row>
    <row r="31" spans="1:1" x14ac:dyDescent="0.7">
      <c r="A31" s="58"/>
    </row>
    <row r="32" spans="1:1" x14ac:dyDescent="0.7">
      <c r="A32" s="58"/>
    </row>
    <row r="33" spans="1:1" x14ac:dyDescent="0.7">
      <c r="A33" s="58"/>
    </row>
    <row r="34" spans="1:1" x14ac:dyDescent="0.7">
      <c r="A34" s="58"/>
    </row>
    <row r="35" spans="1:1" x14ac:dyDescent="0.7">
      <c r="A35" s="58"/>
    </row>
    <row r="36" spans="1:1" x14ac:dyDescent="0.7">
      <c r="A36" s="58"/>
    </row>
    <row r="37" spans="1:1" x14ac:dyDescent="0.7">
      <c r="A37" s="58"/>
    </row>
    <row r="38" spans="1:1" x14ac:dyDescent="0.7">
      <c r="A38" s="58"/>
    </row>
    <row r="39" spans="1:1" x14ac:dyDescent="0.7">
      <c r="A39" s="58"/>
    </row>
    <row r="40" spans="1:1" x14ac:dyDescent="0.7">
      <c r="A40" s="58"/>
    </row>
    <row r="41" spans="1:1" x14ac:dyDescent="0.7">
      <c r="A41" s="58"/>
    </row>
    <row r="42" spans="1:1" x14ac:dyDescent="0.7">
      <c r="A42" s="58"/>
    </row>
    <row r="43" spans="1:1" x14ac:dyDescent="0.7">
      <c r="A43" s="58"/>
    </row>
    <row r="44" spans="1:1" x14ac:dyDescent="0.7">
      <c r="A44" s="58"/>
    </row>
    <row r="45" spans="1:1" x14ac:dyDescent="0.7">
      <c r="A45" s="58"/>
    </row>
    <row r="46" spans="1:1" x14ac:dyDescent="0.7">
      <c r="A46" s="58"/>
    </row>
    <row r="47" spans="1:1" x14ac:dyDescent="0.7">
      <c r="A47" s="58"/>
    </row>
    <row r="48" spans="1:1" x14ac:dyDescent="0.7">
      <c r="A48" s="58"/>
    </row>
    <row r="49" spans="1:1" x14ac:dyDescent="0.7">
      <c r="A49" s="58"/>
    </row>
    <row r="50" spans="1:1" x14ac:dyDescent="0.7">
      <c r="A50" s="58"/>
    </row>
    <row r="51" spans="1:1" x14ac:dyDescent="0.7">
      <c r="A51" s="58"/>
    </row>
    <row r="52" spans="1:1" x14ac:dyDescent="0.7">
      <c r="A52" s="58"/>
    </row>
  </sheetData>
  <mergeCells count="1"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19</vt:i4>
      </vt:variant>
    </vt:vector>
  </HeadingPairs>
  <TitlesOfParts>
    <vt:vector size="27" baseType="lpstr">
      <vt:lpstr>Admin</vt:lpstr>
      <vt:lpstr>POS</vt:lpstr>
      <vt:lpstr>Orders</vt:lpstr>
      <vt:lpstr>OrderItems</vt:lpstr>
      <vt:lpstr>Customers</vt:lpstr>
      <vt:lpstr>Vendors</vt:lpstr>
      <vt:lpstr>Products</vt:lpstr>
      <vt:lpstr>Users</vt:lpstr>
      <vt:lpstr>Categories</vt:lpstr>
      <vt:lpstr>OrderItems!Criteria</vt:lpstr>
      <vt:lpstr>Orders!Criteria</vt:lpstr>
      <vt:lpstr>Products!Criteria</vt:lpstr>
      <vt:lpstr>Customers!Extract</vt:lpstr>
      <vt:lpstr>OrderItems!Extract</vt:lpstr>
      <vt:lpstr>Orders!Extract</vt:lpstr>
      <vt:lpstr>Products!Extract</vt:lpstr>
      <vt:lpstr>Vendors!Extract</vt:lpstr>
      <vt:lpstr>FooterMsg</vt:lpstr>
      <vt:lpstr>POS!Print_Area</vt:lpstr>
      <vt:lpstr>Subcategory1</vt:lpstr>
      <vt:lpstr>Subcategory2</vt:lpstr>
      <vt:lpstr>Subcategory3</vt:lpstr>
      <vt:lpstr>Subcategory4</vt:lpstr>
      <vt:lpstr>Subcategory5</vt:lpstr>
      <vt:lpstr>Subcategory6</vt:lpstr>
      <vt:lpstr>TaxName</vt:lpstr>
      <vt:lpstr>TaxRate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SD826E</cp:lastModifiedBy>
  <cp:lastPrinted>2021-08-18T20:34:11Z</cp:lastPrinted>
  <dcterms:created xsi:type="dcterms:W3CDTF">2021-07-04T05:03:30Z</dcterms:created>
  <dcterms:modified xsi:type="dcterms:W3CDTF">2021-08-19T12:35:29Z</dcterms:modified>
</cp:coreProperties>
</file>